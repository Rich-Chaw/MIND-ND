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y_Codes\GD2026\"/>
    </mc:Choice>
  </mc:AlternateContent>
  <xr:revisionPtr revIDLastSave="0" documentId="13_ncr:1_{7E42ECCF-7556-44CB-AA2F-9276ADADA570}" xr6:coauthVersionLast="47" xr6:coauthVersionMax="47" xr10:uidLastSave="{00000000-0000-0000-0000-000000000000}"/>
  <bookViews>
    <workbookView xWindow="-120" yWindow="-120" windowWidth="29040" windowHeight="17640" xr2:uid="{0791D0AA-D386-4AD5-ACDE-D614451E20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2" l="1"/>
  <c r="F32" i="2"/>
  <c r="H31" i="2"/>
  <c r="F14" i="2"/>
  <c r="M36" i="1"/>
  <c r="O35" i="1"/>
  <c r="Q34" i="1"/>
  <c r="O14" i="1"/>
</calcChain>
</file>

<file path=xl/sharedStrings.xml><?xml version="1.0" encoding="utf-8"?>
<sst xmlns="http://schemas.openxmlformats.org/spreadsheetml/2006/main" count="128" uniqueCount="73">
  <si>
    <t>r</t>
  </si>
  <si>
    <t>q</t>
  </si>
  <si>
    <t>degree</t>
  </si>
  <si>
    <t>CI</t>
  </si>
  <si>
    <t>betweenness</t>
  </si>
  <si>
    <t>mind</t>
  </si>
  <si>
    <t>V</t>
    <phoneticPr fontId="1" type="noConversion"/>
  </si>
  <si>
    <t>AvgDegree</t>
    <phoneticPr fontId="1" type="noConversion"/>
  </si>
  <si>
    <t>Diam</t>
    <phoneticPr fontId="1" type="noConversion"/>
  </si>
  <si>
    <t>AvgShortPath</t>
    <phoneticPr fontId="1" type="noConversion"/>
  </si>
  <si>
    <t>V_LCC</t>
    <phoneticPr fontId="1" type="noConversion"/>
  </si>
  <si>
    <t>Crime</t>
    <phoneticPr fontId="1" type="noConversion"/>
  </si>
  <si>
    <t>moreno_propro</t>
    <phoneticPr fontId="1" type="noConversion"/>
  </si>
  <si>
    <t>dimacs10-polblogs</t>
    <phoneticPr fontId="1" type="noConversion"/>
  </si>
  <si>
    <t>eu-powergrid</t>
    <phoneticPr fontId="1" type="noConversion"/>
  </si>
  <si>
    <t>london_transport_multiplex_aggr</t>
    <phoneticPr fontId="1" type="noConversion"/>
  </si>
  <si>
    <t>opsahl-openflights</t>
    <phoneticPr fontId="1" type="noConversion"/>
  </si>
  <si>
    <t>opsahl-ucsocial</t>
    <phoneticPr fontId="1" type="noConversion"/>
  </si>
  <si>
    <t>librec-filmtrust-trust</t>
    <phoneticPr fontId="1" type="noConversion"/>
  </si>
  <si>
    <t>E_LCC</t>
    <phoneticPr fontId="1" type="noConversion"/>
  </si>
  <si>
    <t>petster-hamster</t>
    <phoneticPr fontId="1" type="noConversion"/>
  </si>
  <si>
    <t>librec-ciaodvd-trust</t>
    <phoneticPr fontId="1" type="noConversion"/>
  </si>
  <si>
    <t>social</t>
    <phoneticPr fontId="1" type="noConversion"/>
  </si>
  <si>
    <t>web-EPA</t>
    <phoneticPr fontId="1" type="noConversion"/>
  </si>
  <si>
    <t>info</t>
    <phoneticPr fontId="1" type="noConversion"/>
  </si>
  <si>
    <t>foodweb-baywet</t>
    <phoneticPr fontId="1" type="noConversion"/>
  </si>
  <si>
    <t>foodweb-baydry</t>
    <phoneticPr fontId="1" type="noConversion"/>
  </si>
  <si>
    <t>dimacs10-celegansneural</t>
    <phoneticPr fontId="1" type="noConversion"/>
  </si>
  <si>
    <t>loc-brightkite</t>
    <phoneticPr fontId="1" type="noConversion"/>
  </si>
  <si>
    <t>loc-gowalla</t>
    <phoneticPr fontId="1" type="noConversion"/>
  </si>
  <si>
    <t>slashdot-threads</t>
    <phoneticPr fontId="1" type="noConversion"/>
  </si>
  <si>
    <t>douban</t>
    <phoneticPr fontId="1" type="noConversion"/>
  </si>
  <si>
    <t>hyves</t>
  </si>
  <si>
    <t>soc-Epinions1</t>
  </si>
  <si>
    <t>slashdot-zoo</t>
    <phoneticPr fontId="1" type="noConversion"/>
  </si>
  <si>
    <t>maayan-foodweb</t>
    <phoneticPr fontId="1" type="noConversion"/>
  </si>
  <si>
    <t>arenas-meta</t>
    <phoneticPr fontId="1" type="noConversion"/>
  </si>
  <si>
    <t>maayan-Stelzl</t>
    <phoneticPr fontId="1" type="noConversion"/>
  </si>
  <si>
    <t>maayan-figeys</t>
    <phoneticPr fontId="1" type="noConversion"/>
  </si>
  <si>
    <t>maayan-vidal</t>
    <phoneticPr fontId="1" type="noConversion"/>
  </si>
  <si>
    <t>random</t>
    <phoneticPr fontId="1" type="noConversion"/>
  </si>
  <si>
    <t>PageRank</t>
    <phoneticPr fontId="1" type="noConversion"/>
  </si>
  <si>
    <t>CoreHD</t>
    <phoneticPr fontId="1" type="noConversion"/>
  </si>
  <si>
    <t>0 -0.104372</t>
    <phoneticPr fontId="1" type="noConversion"/>
  </si>
  <si>
    <t>advogato</t>
    <phoneticPr fontId="1" type="noConversion"/>
  </si>
  <si>
    <t>pajek-erdos</t>
    <phoneticPr fontId="1" type="noConversion"/>
  </si>
  <si>
    <t>econ-wm1</t>
    <phoneticPr fontId="1" type="noConversion"/>
  </si>
  <si>
    <t>subelj_jung-j_jung-j</t>
    <phoneticPr fontId="1" type="noConversion"/>
  </si>
  <si>
    <t>subelj_jdk_jdk</t>
    <phoneticPr fontId="1" type="noConversion"/>
  </si>
  <si>
    <t>ego-twitter</t>
    <phoneticPr fontId="1" type="noConversion"/>
  </si>
  <si>
    <t>gridkit-eupowergrid</t>
    <phoneticPr fontId="1" type="noConversion"/>
  </si>
  <si>
    <t>munmun_twitter_social</t>
    <phoneticPr fontId="1" type="noConversion"/>
  </si>
  <si>
    <t>linux</t>
  </si>
  <si>
    <t>cit-HepPh</t>
  </si>
  <si>
    <t>p2p-Gnutella31</t>
  </si>
  <si>
    <t>web-Stanford</t>
  </si>
  <si>
    <t>gridkit-north_america</t>
    <phoneticPr fontId="1" type="noConversion"/>
  </si>
  <si>
    <t>internet-topology</t>
    <phoneticPr fontId="1" type="noConversion"/>
  </si>
  <si>
    <t>p2p-Gnutella06</t>
    <phoneticPr fontId="1" type="noConversion"/>
  </si>
  <si>
    <t>dblp-cite</t>
    <phoneticPr fontId="1" type="noConversion"/>
  </si>
  <si>
    <t>munmun_digg_reply_LCC</t>
    <phoneticPr fontId="1" type="noConversion"/>
  </si>
  <si>
    <t>too slow</t>
    <phoneticPr fontId="1" type="noConversion"/>
  </si>
  <si>
    <t>Clustering</t>
    <phoneticPr fontId="1" type="noConversion"/>
  </si>
  <si>
    <t>Dataset</t>
    <phoneticPr fontId="1" type="noConversion"/>
  </si>
  <si>
    <t>sac_teacher_20260129_163549/18999</t>
    <phoneticPr fontId="1" type="noConversion"/>
  </si>
  <si>
    <t>ego-facebook</t>
    <phoneticPr fontId="1" type="noConversion"/>
  </si>
  <si>
    <t>power-us-grid</t>
    <phoneticPr fontId="1" type="noConversion"/>
  </si>
  <si>
    <t>openflights-airport</t>
    <phoneticPr fontId="1" type="noConversion"/>
  </si>
  <si>
    <t>citeseer</t>
  </si>
  <si>
    <t>cora</t>
    <phoneticPr fontId="1" type="noConversion"/>
  </si>
  <si>
    <t>munmun_digg_reply</t>
    <phoneticPr fontId="1" type="noConversion"/>
  </si>
  <si>
    <t>bio</t>
    <phoneticPr fontId="1" type="noConversion"/>
  </si>
  <si>
    <t>tech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</si>
</sst>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Consolas"/>
      <family val="3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7BA9-09F9-4AAB-B71B-66AFBE3B83BC}">
  <dimension ref="A1:U100"/>
  <sheetViews>
    <sheetView tabSelected="1" topLeftCell="B1" workbookViewId="0">
      <selection activeCell="L29" sqref="L29"/>
    </sheetView>
  </sheetViews>
  <sheetFormatPr defaultRowHeight="14.25" x14ac:dyDescent="0.2"/>
  <cols>
    <col min="2" max="2" width="26.25" customWidth="1"/>
    <col min="6" max="6" width="12" customWidth="1"/>
    <col min="9" max="9" width="10" customWidth="1"/>
    <col min="11" max="11" width="9.75" customWidth="1"/>
    <col min="12" max="12" width="11.5" customWidth="1"/>
    <col min="14" max="16" width="14.5" customWidth="1"/>
    <col min="17" max="17" width="13.75" customWidth="1"/>
    <col min="18" max="18" width="13.25" customWidth="1"/>
  </cols>
  <sheetData>
    <row r="1" spans="1:21" x14ac:dyDescent="0.2">
      <c r="B1" t="s">
        <v>63</v>
      </c>
      <c r="C1" s="2" t="s">
        <v>6</v>
      </c>
      <c r="D1" s="2" t="s">
        <v>10</v>
      </c>
      <c r="E1" s="2" t="s">
        <v>19</v>
      </c>
      <c r="F1" s="2" t="s">
        <v>7</v>
      </c>
      <c r="G1" s="2" t="s">
        <v>8</v>
      </c>
      <c r="H1" s="2" t="s">
        <v>9</v>
      </c>
      <c r="I1" s="2" t="s">
        <v>62</v>
      </c>
      <c r="J1" s="2" t="s">
        <v>0</v>
      </c>
      <c r="K1" s="2" t="s">
        <v>1</v>
      </c>
      <c r="L1" t="s">
        <v>40</v>
      </c>
      <c r="M1" t="s">
        <v>2</v>
      </c>
      <c r="N1" t="s">
        <v>4</v>
      </c>
      <c r="O1" t="s">
        <v>3</v>
      </c>
      <c r="P1" t="s">
        <v>41</v>
      </c>
      <c r="Q1" t="s">
        <v>42</v>
      </c>
      <c r="R1" t="s">
        <v>5</v>
      </c>
      <c r="S1" t="s">
        <v>64</v>
      </c>
    </row>
    <row r="2" spans="1:21" x14ac:dyDescent="0.2">
      <c r="B2" s="4" t="s">
        <v>25</v>
      </c>
      <c r="C2" s="2">
        <v>128</v>
      </c>
      <c r="D2" s="2">
        <v>128</v>
      </c>
      <c r="E2" s="2">
        <v>2075</v>
      </c>
      <c r="F2" s="2">
        <v>32.421875</v>
      </c>
      <c r="G2" s="2">
        <v>3</v>
      </c>
      <c r="H2" s="2">
        <v>1.776329</v>
      </c>
      <c r="I2" s="2">
        <v>0.33462199999999998</v>
      </c>
      <c r="J2" s="2">
        <v>-0.111663</v>
      </c>
      <c r="K2" s="2">
        <v>0.18551400000000001</v>
      </c>
      <c r="L2">
        <v>0.49493399999999999</v>
      </c>
      <c r="M2">
        <v>0.382324</v>
      </c>
      <c r="N2">
        <v>0.35449199999999997</v>
      </c>
      <c r="O2">
        <v>0.38134800000000002</v>
      </c>
      <c r="P2" s="1">
        <v>0.38116499999999998</v>
      </c>
      <c r="Q2" s="1">
        <v>0.38488800000000001</v>
      </c>
      <c r="R2">
        <v>0.34857199999999999</v>
      </c>
      <c r="S2">
        <v>0.34777799999999998</v>
      </c>
    </row>
    <row r="3" spans="1:21" x14ac:dyDescent="0.2">
      <c r="B3" t="s">
        <v>26</v>
      </c>
      <c r="C3" s="2">
        <v>128</v>
      </c>
      <c r="D3" s="2">
        <v>128</v>
      </c>
      <c r="E3" s="2">
        <v>2106</v>
      </c>
      <c r="F3" s="2">
        <v>32.90625</v>
      </c>
      <c r="G3" s="2">
        <v>3</v>
      </c>
      <c r="H3" s="2">
        <v>1.772392</v>
      </c>
      <c r="I3" s="2">
        <v>0.334642</v>
      </c>
      <c r="J3" s="2" t="s">
        <v>43</v>
      </c>
      <c r="K3" s="2">
        <v>0.178923</v>
      </c>
      <c r="L3">
        <v>0.49432399999999999</v>
      </c>
      <c r="M3" s="1">
        <v>0.385986</v>
      </c>
      <c r="N3" s="1">
        <v>0.351074</v>
      </c>
      <c r="O3" s="1">
        <v>0.38268999999999997</v>
      </c>
      <c r="P3" s="1">
        <v>0.37957800000000003</v>
      </c>
      <c r="Q3" s="1">
        <v>0.39019799999999999</v>
      </c>
      <c r="R3">
        <v>0.34851100000000002</v>
      </c>
      <c r="S3" s="1">
        <v>0.355713</v>
      </c>
    </row>
    <row r="4" spans="1:21" x14ac:dyDescent="0.2">
      <c r="B4" s="4" t="s">
        <v>35</v>
      </c>
      <c r="C4" s="2">
        <v>183</v>
      </c>
      <c r="D4" s="2">
        <v>183</v>
      </c>
      <c r="E4" s="2">
        <v>2434</v>
      </c>
      <c r="F4" s="2">
        <v>26.601092999999999</v>
      </c>
      <c r="G4" s="2">
        <v>4</v>
      </c>
      <c r="H4" s="1">
        <v>2.1466400000000001</v>
      </c>
      <c r="I4" s="1">
        <v>0.32440099999999999</v>
      </c>
      <c r="J4" s="1">
        <v>-0.26638499999999998</v>
      </c>
      <c r="K4" s="1">
        <v>0.354939</v>
      </c>
      <c r="L4" s="1">
        <v>0.49126599999999998</v>
      </c>
      <c r="M4" s="1">
        <v>0.210845</v>
      </c>
      <c r="N4" s="1">
        <v>0.16686100000000001</v>
      </c>
      <c r="O4" s="1">
        <v>0.22556699999999999</v>
      </c>
      <c r="P4" s="1">
        <v>0.194691</v>
      </c>
      <c r="Q4" s="1">
        <v>0.210815</v>
      </c>
      <c r="R4" s="1">
        <v>0.17238500000000001</v>
      </c>
      <c r="S4" s="1">
        <v>0.16927900000000001</v>
      </c>
    </row>
    <row r="5" spans="1:21" x14ac:dyDescent="0.2">
      <c r="B5" s="4" t="s">
        <v>27</v>
      </c>
      <c r="C5" s="2">
        <v>297</v>
      </c>
      <c r="D5" s="2">
        <v>297</v>
      </c>
      <c r="E5" s="2">
        <v>2148</v>
      </c>
      <c r="F5" s="1">
        <v>14.464646</v>
      </c>
      <c r="G5" s="2">
        <v>5</v>
      </c>
      <c r="H5" s="1">
        <v>2.4553189999999998</v>
      </c>
      <c r="I5" s="2">
        <v>0.30791499999999999</v>
      </c>
      <c r="J5" s="1">
        <v>-0.16319900000000001</v>
      </c>
      <c r="K5" s="1">
        <v>0.40515200000000001</v>
      </c>
      <c r="L5" s="1">
        <v>0.47725299999999998</v>
      </c>
      <c r="M5" s="1">
        <v>0.279835</v>
      </c>
      <c r="N5" s="1">
        <v>0.20078499999999999</v>
      </c>
      <c r="O5" s="1">
        <v>0.26899699999999999</v>
      </c>
      <c r="P5" s="1">
        <v>0.28235199999999999</v>
      </c>
      <c r="Q5" s="1">
        <v>0.281082</v>
      </c>
      <c r="R5" s="1">
        <v>0.23572399999999999</v>
      </c>
      <c r="S5" s="1">
        <v>0.21651999999999999</v>
      </c>
    </row>
    <row r="6" spans="1:21" x14ac:dyDescent="0.2">
      <c r="B6" s="4" t="s">
        <v>36</v>
      </c>
      <c r="C6" s="2">
        <v>453</v>
      </c>
      <c r="D6" s="2">
        <v>453</v>
      </c>
      <c r="E6" s="2">
        <v>2025</v>
      </c>
      <c r="F6" s="2">
        <v>8.9403970000000008</v>
      </c>
      <c r="G6" s="2">
        <v>7</v>
      </c>
      <c r="H6" s="2">
        <v>2.6637849999999998</v>
      </c>
      <c r="I6" s="2">
        <v>0.65513999999999994</v>
      </c>
      <c r="J6" s="2">
        <v>-0.22582099999999999</v>
      </c>
      <c r="K6" s="2">
        <v>0.43970399999999998</v>
      </c>
      <c r="L6" s="1">
        <v>0.46990599999999999</v>
      </c>
      <c r="M6">
        <v>8.7500999999999995E-2</v>
      </c>
      <c r="N6" s="1">
        <v>6.9406999999999996E-2</v>
      </c>
      <c r="O6">
        <v>8.7676000000000004E-2</v>
      </c>
      <c r="P6">
        <v>9.7803000000000001E-2</v>
      </c>
      <c r="Q6" s="1">
        <v>8.7500999999999995E-2</v>
      </c>
      <c r="R6">
        <v>8.2281999999999994E-2</v>
      </c>
      <c r="S6" s="1">
        <v>8.1131999999999996E-2</v>
      </c>
    </row>
    <row r="7" spans="1:21" x14ac:dyDescent="0.2">
      <c r="B7" s="4" t="s">
        <v>37</v>
      </c>
      <c r="C7" s="2">
        <v>1706</v>
      </c>
      <c r="D7" s="1">
        <v>1615</v>
      </c>
      <c r="E7" s="1">
        <v>3106</v>
      </c>
      <c r="F7" s="1">
        <v>3.8464399999999999</v>
      </c>
      <c r="G7" s="1">
        <v>13</v>
      </c>
      <c r="H7" s="1">
        <v>4.8480319999999999</v>
      </c>
      <c r="I7" s="1">
        <v>1.1370999999999999E-2</v>
      </c>
      <c r="J7" s="1">
        <v>-0.20204</v>
      </c>
      <c r="K7" s="1">
        <v>0.60377400000000003</v>
      </c>
      <c r="L7" s="1">
        <v>0.371091</v>
      </c>
      <c r="M7" s="1">
        <v>4.2445999999999998E-2</v>
      </c>
      <c r="N7" s="1">
        <v>3.9709000000000001E-2</v>
      </c>
      <c r="O7" s="1">
        <v>4.1484E-2</v>
      </c>
      <c r="P7" s="1">
        <v>4.4645999999999998E-2</v>
      </c>
      <c r="Q7" s="1">
        <v>4.1419999999999998E-2</v>
      </c>
      <c r="R7" s="1">
        <v>3.9896000000000001E-2</v>
      </c>
      <c r="S7" s="1">
        <v>3.9789999999999999E-2</v>
      </c>
      <c r="T7" s="1"/>
      <c r="U7" s="1"/>
    </row>
    <row r="8" spans="1:21" x14ac:dyDescent="0.2">
      <c r="B8" t="s">
        <v>12</v>
      </c>
      <c r="C8" s="2">
        <v>1870</v>
      </c>
      <c r="D8" s="1">
        <v>1458</v>
      </c>
      <c r="E8" s="1">
        <v>1948</v>
      </c>
      <c r="F8" s="1">
        <v>2.6721539999999999</v>
      </c>
      <c r="G8" s="1">
        <v>19</v>
      </c>
      <c r="H8" s="1">
        <v>6.8123659999999999</v>
      </c>
      <c r="I8" s="1">
        <v>0.14031399999999999</v>
      </c>
      <c r="J8" s="1">
        <v>-0.20954100000000001</v>
      </c>
      <c r="K8" s="1">
        <v>0.82096400000000003</v>
      </c>
      <c r="L8" s="1">
        <v>0.30371799999999999</v>
      </c>
      <c r="M8" s="1">
        <v>4.0698999999999999E-2</v>
      </c>
      <c r="N8" s="1">
        <v>2.6898999999999999E-2</v>
      </c>
      <c r="O8" s="1">
        <v>3.5955000000000001E-2</v>
      </c>
      <c r="P8" s="1">
        <v>4.6143000000000003E-2</v>
      </c>
      <c r="Q8" s="1">
        <v>3.7180999999999999E-2</v>
      </c>
      <c r="R8" s="1">
        <v>3.3255E-2</v>
      </c>
    </row>
    <row r="9" spans="1:21" x14ac:dyDescent="0.2">
      <c r="B9" t="s">
        <v>38</v>
      </c>
      <c r="C9" s="2">
        <v>2239</v>
      </c>
      <c r="D9" s="3">
        <v>2217</v>
      </c>
      <c r="E9" s="3">
        <v>6418</v>
      </c>
      <c r="F9" s="3">
        <v>5.7898059999999996</v>
      </c>
      <c r="G9" s="3">
        <v>10</v>
      </c>
      <c r="H9" s="3">
        <v>3.8436300000000001</v>
      </c>
      <c r="I9" s="3">
        <v>7.1277999999999994E-2</v>
      </c>
      <c r="J9" s="2">
        <v>-0.33176099999999997</v>
      </c>
      <c r="K9" s="2">
        <v>0.50729299999999999</v>
      </c>
      <c r="L9" s="1">
        <v>0.41262199999999999</v>
      </c>
      <c r="M9" s="1">
        <v>3.0328000000000001E-2</v>
      </c>
      <c r="N9" s="1">
        <v>2.8261000000000001E-2</v>
      </c>
      <c r="O9" s="1">
        <v>3.0290999999999998E-2</v>
      </c>
      <c r="P9" s="1">
        <v>3.0511E-2</v>
      </c>
      <c r="Q9" s="1">
        <v>2.9787999999999999E-2</v>
      </c>
      <c r="R9" s="1">
        <v>2.8809999999999999E-2</v>
      </c>
      <c r="T9" s="1"/>
      <c r="U9" s="1"/>
    </row>
    <row r="10" spans="1:21" x14ac:dyDescent="0.2">
      <c r="B10" t="s">
        <v>39</v>
      </c>
      <c r="C10" s="2">
        <v>3133</v>
      </c>
      <c r="D10" s="2">
        <v>2783</v>
      </c>
      <c r="E10" s="2">
        <v>6007</v>
      </c>
      <c r="F10" s="2">
        <v>4.3169240000000002</v>
      </c>
      <c r="G10" s="2">
        <v>13</v>
      </c>
      <c r="H10" s="2">
        <v>4.8398019999999997</v>
      </c>
      <c r="I10" s="2">
        <v>0.108524</v>
      </c>
      <c r="J10" s="2">
        <v>-0.13655999999999999</v>
      </c>
      <c r="K10" s="2">
        <v>0.65002000000000004</v>
      </c>
      <c r="L10" s="1">
        <v>0.39555899999999999</v>
      </c>
      <c r="M10" s="1">
        <v>7.1662000000000003E-2</v>
      </c>
      <c r="N10" s="1">
        <v>6.1890000000000001E-2</v>
      </c>
      <c r="O10" s="1">
        <v>6.9059999999999996E-2</v>
      </c>
      <c r="Q10" s="1">
        <v>7.0211999999999997E-2</v>
      </c>
      <c r="R10" s="1">
        <v>6.4979999999999996E-2</v>
      </c>
    </row>
    <row r="12" spans="1:21" x14ac:dyDescent="0.2">
      <c r="A12" t="s">
        <v>22</v>
      </c>
      <c r="B12" s="4" t="s">
        <v>18</v>
      </c>
      <c r="C12" s="2">
        <v>874</v>
      </c>
      <c r="D12" s="2">
        <v>610</v>
      </c>
      <c r="E12" s="1">
        <v>1119</v>
      </c>
      <c r="F12" s="1">
        <v>3.6688519999999998</v>
      </c>
      <c r="G12" s="1">
        <v>13</v>
      </c>
      <c r="H12" s="1">
        <v>5.088686</v>
      </c>
      <c r="I12" s="1">
        <v>0.29267399999999999</v>
      </c>
      <c r="J12" s="2">
        <v>1.7045000000000001E-2</v>
      </c>
      <c r="K12" s="1">
        <v>0.70276799999999995</v>
      </c>
      <c r="L12" s="1">
        <v>0.34492600000000001</v>
      </c>
      <c r="M12" s="1">
        <v>6.0935000000000003E-2</v>
      </c>
      <c r="N12" s="1">
        <v>4.0911000000000003E-2</v>
      </c>
      <c r="O12" s="1">
        <v>5.7161999999999998E-2</v>
      </c>
      <c r="P12" s="1"/>
      <c r="Q12" s="1">
        <v>6.3615000000000005E-2</v>
      </c>
      <c r="R12" s="1">
        <v>4.9605000000000003E-2</v>
      </c>
      <c r="S12">
        <v>4.8146000000000001E-2</v>
      </c>
      <c r="T12" s="1"/>
      <c r="U12" s="1"/>
    </row>
    <row r="13" spans="1:21" x14ac:dyDescent="0.2">
      <c r="B13" t="s">
        <v>17</v>
      </c>
      <c r="C13" s="2">
        <v>1899</v>
      </c>
      <c r="D13" s="2">
        <v>1893</v>
      </c>
      <c r="E13" s="2">
        <v>13835</v>
      </c>
      <c r="F13" s="1">
        <v>14.617010000000001</v>
      </c>
      <c r="G13" s="1">
        <v>8</v>
      </c>
      <c r="H13" s="1">
        <v>3.055167</v>
      </c>
      <c r="I13" s="1">
        <v>0.138039</v>
      </c>
      <c r="J13" s="1">
        <v>-0.18801799999999999</v>
      </c>
      <c r="K13" s="1">
        <v>0.26968599999999998</v>
      </c>
      <c r="L13" s="1">
        <v>0.445828</v>
      </c>
      <c r="M13" s="1">
        <v>0.14532999999999999</v>
      </c>
      <c r="N13" s="1">
        <v>0.139297</v>
      </c>
      <c r="O13" s="1">
        <v>0.143897</v>
      </c>
      <c r="Q13" s="1">
        <v>0.143843</v>
      </c>
      <c r="R13" s="1">
        <v>0.13445699999999999</v>
      </c>
      <c r="T13" s="1"/>
      <c r="U13" s="1"/>
    </row>
    <row r="14" spans="1:21" x14ac:dyDescent="0.2">
      <c r="B14" s="4" t="s">
        <v>20</v>
      </c>
      <c r="C14" s="2">
        <v>2426</v>
      </c>
      <c r="D14" s="2">
        <v>2000</v>
      </c>
      <c r="E14" s="2">
        <v>16098</v>
      </c>
      <c r="F14" s="2">
        <v>16.097999999999999</v>
      </c>
      <c r="G14" s="2">
        <v>10</v>
      </c>
      <c r="H14" s="2">
        <v>3.5889790000000001</v>
      </c>
      <c r="I14" s="2">
        <v>0.57304100000000002</v>
      </c>
      <c r="J14" s="2">
        <v>2.2724000000000001E-2</v>
      </c>
      <c r="K14" s="2">
        <v>0.54765299999999995</v>
      </c>
      <c r="L14" s="1">
        <v>0.44900800000000002</v>
      </c>
      <c r="M14" s="1">
        <v>0.18393399999999999</v>
      </c>
      <c r="N14" s="1">
        <v>0.110162</v>
      </c>
      <c r="O14" s="1">
        <f>0.173506</f>
        <v>0.17350599999999999</v>
      </c>
      <c r="Q14" s="1">
        <v>0.18393399999999999</v>
      </c>
      <c r="R14" s="1">
        <v>0.145313</v>
      </c>
      <c r="S14" s="1">
        <v>0.14076900000000001</v>
      </c>
    </row>
    <row r="15" spans="1:21" ht="15" x14ac:dyDescent="0.2">
      <c r="B15" s="5" t="s">
        <v>65</v>
      </c>
      <c r="C15" s="2">
        <v>4039</v>
      </c>
      <c r="D15" s="2">
        <v>4039</v>
      </c>
      <c r="E15" s="2">
        <v>88234</v>
      </c>
      <c r="F15" s="2">
        <v>43.691012999999998</v>
      </c>
      <c r="G15" s="6">
        <v>8</v>
      </c>
      <c r="H15" s="2">
        <v>3.692507</v>
      </c>
      <c r="I15" s="2">
        <v>0.617004</v>
      </c>
      <c r="J15" s="2">
        <v>6.3576999999999995E-2</v>
      </c>
      <c r="K15" s="2">
        <v>0.83573600000000003</v>
      </c>
      <c r="L15" s="1"/>
      <c r="M15" s="1"/>
      <c r="N15" s="1"/>
      <c r="O15" s="1"/>
      <c r="Q15" s="1"/>
      <c r="R15" s="1"/>
      <c r="S15" s="1"/>
    </row>
    <row r="16" spans="1:21" x14ac:dyDescent="0.2">
      <c r="B16" t="s">
        <v>21</v>
      </c>
      <c r="C16" s="2">
        <v>4658</v>
      </c>
      <c r="D16" s="2">
        <v>4562</v>
      </c>
      <c r="E16" s="2">
        <v>33058</v>
      </c>
      <c r="F16" s="2">
        <v>14.492766</v>
      </c>
      <c r="G16" s="2">
        <v>9</v>
      </c>
      <c r="H16" s="1">
        <v>3.6593309999999999</v>
      </c>
      <c r="I16" s="1">
        <v>0.19328600000000001</v>
      </c>
      <c r="J16" s="1">
        <v>0.10155599999999999</v>
      </c>
      <c r="K16" s="1">
        <v>0.42051899999999998</v>
      </c>
      <c r="L16" s="1">
        <v>0.42242800000000003</v>
      </c>
      <c r="M16" s="1">
        <v>9.4416E-2</v>
      </c>
      <c r="N16" s="1">
        <v>7.4917999999999998E-2</v>
      </c>
      <c r="O16" s="1">
        <v>9.7526000000000002E-2</v>
      </c>
      <c r="Q16" s="1">
        <v>9.3301999999999996E-2</v>
      </c>
      <c r="R16" s="1">
        <v>7.1181999999999995E-2</v>
      </c>
      <c r="S16" s="1">
        <v>7.7354999999999993E-2</v>
      </c>
    </row>
    <row r="17" spans="1:21" x14ac:dyDescent="0.2">
      <c r="B17" t="s">
        <v>44</v>
      </c>
      <c r="C17" s="2">
        <v>6539</v>
      </c>
      <c r="D17" s="1">
        <v>5042</v>
      </c>
      <c r="E17" s="1">
        <v>39227</v>
      </c>
      <c r="F17" s="1">
        <v>15.560095</v>
      </c>
      <c r="G17" s="1">
        <v>9</v>
      </c>
      <c r="H17" s="1">
        <v>3.274702</v>
      </c>
      <c r="I17" s="1">
        <v>0.31883299999999998</v>
      </c>
      <c r="J17" s="1">
        <v>-9.5721000000000001E-2</v>
      </c>
      <c r="K17" s="1">
        <v>0.41344700000000001</v>
      </c>
      <c r="L17" s="1">
        <v>0.44283899999999998</v>
      </c>
      <c r="M17" s="1">
        <v>0.145095</v>
      </c>
      <c r="N17" s="1">
        <v>0.131859</v>
      </c>
      <c r="O17" s="1">
        <v>0.14297499999999999</v>
      </c>
      <c r="Q17" s="1">
        <v>0.14362800000000001</v>
      </c>
      <c r="R17" s="1">
        <v>0.13289699999999999</v>
      </c>
      <c r="S17" s="1">
        <v>0.13676099999999999</v>
      </c>
    </row>
    <row r="18" spans="1:21" x14ac:dyDescent="0.2">
      <c r="B18" t="s">
        <v>45</v>
      </c>
      <c r="C18" s="2">
        <v>6927</v>
      </c>
      <c r="D18" s="2">
        <v>6927</v>
      </c>
      <c r="E18" s="1">
        <v>11850</v>
      </c>
      <c r="F18" s="1">
        <v>3.421395</v>
      </c>
      <c r="G18" s="1">
        <v>4</v>
      </c>
      <c r="H18" s="1">
        <v>3.7764410000000002</v>
      </c>
      <c r="I18" s="1">
        <v>0.39826299999999998</v>
      </c>
      <c r="J18" s="1">
        <v>-0.115577</v>
      </c>
      <c r="K18" s="1">
        <v>0.71571899999999999</v>
      </c>
      <c r="L18" s="1">
        <v>0.37348100000000001</v>
      </c>
      <c r="M18" s="1">
        <v>1.8405999999999999E-2</v>
      </c>
      <c r="N18" s="1">
        <v>1.6743000000000001E-2</v>
      </c>
      <c r="O18" s="1">
        <v>1.8534999999999999E-2</v>
      </c>
      <c r="Q18" s="1">
        <v>1.7797E-2</v>
      </c>
      <c r="R18" s="1">
        <v>1.7538000000000002E-2</v>
      </c>
      <c r="S18" s="1">
        <v>1.7991E-2</v>
      </c>
    </row>
    <row r="19" spans="1:21" x14ac:dyDescent="0.2">
      <c r="B19" t="s">
        <v>49</v>
      </c>
      <c r="C19" s="2">
        <v>23370</v>
      </c>
      <c r="D19" s="2">
        <v>22322</v>
      </c>
      <c r="E19" s="1">
        <v>31823</v>
      </c>
      <c r="F19" s="1">
        <v>2.8512680000000001</v>
      </c>
      <c r="G19" s="1">
        <v>15</v>
      </c>
      <c r="H19" s="1">
        <v>6.3050540000000002</v>
      </c>
      <c r="I19" s="1">
        <v>0.33538400000000002</v>
      </c>
      <c r="J19" s="1">
        <v>-0.49014000000000002</v>
      </c>
      <c r="K19" s="1">
        <v>0.89689200000000002</v>
      </c>
      <c r="R19" s="1">
        <v>8.1930000000000006E-3</v>
      </c>
    </row>
    <row r="20" spans="1:21" x14ac:dyDescent="0.2">
      <c r="B20" t="s">
        <v>70</v>
      </c>
      <c r="C20" s="2">
        <v>29652</v>
      </c>
      <c r="D20" s="2"/>
      <c r="E20" s="2"/>
      <c r="F20" s="2"/>
      <c r="G20" s="2"/>
      <c r="H20" s="2"/>
      <c r="I20" s="2"/>
      <c r="J20" s="2"/>
      <c r="K20" s="2"/>
    </row>
    <row r="21" spans="1:21" x14ac:dyDescent="0.2">
      <c r="B21" t="s">
        <v>30</v>
      </c>
      <c r="C21" s="2">
        <v>51083</v>
      </c>
      <c r="D21" s="2"/>
      <c r="E21" s="2"/>
      <c r="F21" s="2"/>
      <c r="G21" s="2"/>
      <c r="H21" s="2"/>
      <c r="I21" s="2"/>
      <c r="J21" s="2"/>
      <c r="K21" s="2"/>
    </row>
    <row r="22" spans="1:21" x14ac:dyDescent="0.2">
      <c r="B22" t="s">
        <v>28</v>
      </c>
      <c r="C22" s="2">
        <v>58228</v>
      </c>
      <c r="D22" s="2"/>
      <c r="E22" s="2"/>
      <c r="F22" s="2"/>
      <c r="G22" s="2"/>
      <c r="H22" s="2"/>
      <c r="I22" s="2"/>
      <c r="J22" s="2"/>
      <c r="K22" s="2"/>
    </row>
    <row r="23" spans="1:21" x14ac:dyDescent="0.2">
      <c r="B23" t="s">
        <v>33</v>
      </c>
      <c r="C23" s="2">
        <v>75879</v>
      </c>
      <c r="D23" s="2"/>
      <c r="E23" s="2"/>
      <c r="F23" s="2"/>
      <c r="G23" s="2"/>
      <c r="H23" s="2"/>
      <c r="I23" s="2"/>
      <c r="J23" s="2"/>
      <c r="K23" s="2"/>
    </row>
    <row r="24" spans="1:21" x14ac:dyDescent="0.2">
      <c r="B24" t="s">
        <v>34</v>
      </c>
      <c r="C24" s="2">
        <v>79116</v>
      </c>
      <c r="D24" s="2"/>
      <c r="E24" s="2"/>
      <c r="F24" s="2"/>
      <c r="G24" s="2"/>
      <c r="H24" s="2"/>
      <c r="I24" s="2"/>
      <c r="J24" s="2"/>
      <c r="K24" s="2"/>
    </row>
    <row r="25" spans="1:21" x14ac:dyDescent="0.2">
      <c r="B25" t="s">
        <v>31</v>
      </c>
      <c r="C25" s="2">
        <v>154908</v>
      </c>
      <c r="D25" s="2"/>
      <c r="E25" s="2"/>
      <c r="F25" s="2"/>
      <c r="G25" s="2"/>
      <c r="H25" s="2"/>
      <c r="I25" s="2"/>
      <c r="J25" s="2"/>
      <c r="K25" s="2"/>
    </row>
    <row r="26" spans="1:21" x14ac:dyDescent="0.2">
      <c r="B26" t="s">
        <v>29</v>
      </c>
      <c r="C26" s="2">
        <v>196591</v>
      </c>
      <c r="D26" s="2"/>
      <c r="E26" s="2"/>
      <c r="F26" s="2"/>
      <c r="G26" s="2"/>
      <c r="H26" s="2"/>
      <c r="I26" s="2"/>
      <c r="J26" s="2"/>
      <c r="K26" s="2"/>
    </row>
    <row r="27" spans="1:21" x14ac:dyDescent="0.2">
      <c r="B27" t="s">
        <v>51</v>
      </c>
      <c r="C27" s="2">
        <v>465017</v>
      </c>
      <c r="D27" s="2"/>
      <c r="E27" s="2"/>
      <c r="F27" s="2"/>
      <c r="G27" s="2"/>
      <c r="H27" s="2"/>
      <c r="I27" s="2"/>
      <c r="J27" s="2"/>
      <c r="K27" s="2"/>
    </row>
    <row r="28" spans="1:21" x14ac:dyDescent="0.2">
      <c r="B28" t="s">
        <v>32</v>
      </c>
      <c r="C28" s="2">
        <v>1402673</v>
      </c>
      <c r="D28" s="2"/>
      <c r="E28" s="2"/>
      <c r="F28" s="2"/>
      <c r="G28" s="2"/>
      <c r="H28" s="2"/>
      <c r="I28" s="2"/>
      <c r="J28" s="2"/>
      <c r="K28" s="2"/>
    </row>
    <row r="29" spans="1:21" x14ac:dyDescent="0.2">
      <c r="C29" s="2"/>
      <c r="D29" s="2"/>
      <c r="E29" s="2"/>
      <c r="F29" s="2"/>
      <c r="G29" s="2"/>
      <c r="H29" s="2"/>
      <c r="I29" s="2"/>
      <c r="J29" s="2"/>
      <c r="K29" s="2"/>
    </row>
    <row r="30" spans="1:21" x14ac:dyDescent="0.2">
      <c r="A30" t="s">
        <v>24</v>
      </c>
      <c r="B30" s="4" t="s">
        <v>46</v>
      </c>
      <c r="C30" s="2">
        <v>260</v>
      </c>
      <c r="D30" s="1">
        <v>258</v>
      </c>
      <c r="E30" s="1">
        <v>2389</v>
      </c>
      <c r="F30" s="1">
        <v>18.519380000000002</v>
      </c>
      <c r="G30" s="1">
        <v>11</v>
      </c>
      <c r="H30" s="1">
        <v>2.9368080000000001</v>
      </c>
      <c r="I30" s="1">
        <v>0.29622399999999999</v>
      </c>
      <c r="J30" s="1">
        <v>-0.116149</v>
      </c>
      <c r="K30" s="1">
        <v>0.21858900000000001</v>
      </c>
      <c r="L30" s="1">
        <v>0.422601</v>
      </c>
      <c r="M30" s="1">
        <v>0.17605599999999999</v>
      </c>
      <c r="N30" s="1">
        <v>0.14296</v>
      </c>
      <c r="O30" s="1">
        <v>0.17665700000000001</v>
      </c>
      <c r="Q30" s="1">
        <v>0.17491399999999999</v>
      </c>
      <c r="R30" s="1">
        <v>0.154919</v>
      </c>
      <c r="S30" s="1">
        <v>0.14865400000000001</v>
      </c>
    </row>
    <row r="31" spans="1:21" x14ac:dyDescent="0.2">
      <c r="B31" t="s">
        <v>13</v>
      </c>
      <c r="C31" s="2">
        <v>1224</v>
      </c>
      <c r="D31" s="2">
        <v>1222</v>
      </c>
      <c r="E31" s="1">
        <v>16714</v>
      </c>
      <c r="F31" s="1">
        <v>27.355155</v>
      </c>
      <c r="G31" s="1">
        <v>8</v>
      </c>
      <c r="H31" s="1">
        <v>2.73753</v>
      </c>
      <c r="I31" s="1">
        <v>0.36002899999999999</v>
      </c>
      <c r="J31" s="1">
        <v>-0.221329</v>
      </c>
      <c r="K31" s="1">
        <v>0.427041</v>
      </c>
      <c r="L31" s="1">
        <v>0.467422</v>
      </c>
      <c r="M31" s="1">
        <v>0.193164</v>
      </c>
      <c r="N31" s="1">
        <v>0.15726000000000001</v>
      </c>
      <c r="O31" s="1">
        <v>0.192409</v>
      </c>
      <c r="Q31" s="1">
        <v>0.19284899999999999</v>
      </c>
      <c r="R31" s="1">
        <v>0.17238400000000001</v>
      </c>
      <c r="T31" s="1"/>
      <c r="U31" s="1"/>
    </row>
    <row r="32" spans="1:21" ht="15" x14ac:dyDescent="0.2">
      <c r="B32" s="7" t="s">
        <v>68</v>
      </c>
      <c r="C32" s="2">
        <v>2120</v>
      </c>
      <c r="D32" s="2">
        <v>2120</v>
      </c>
      <c r="E32" s="1">
        <v>3679</v>
      </c>
      <c r="F32" s="1">
        <v>3.470755</v>
      </c>
      <c r="G32" s="1">
        <v>28</v>
      </c>
      <c r="H32" s="1">
        <v>9.3297150000000002</v>
      </c>
      <c r="I32" s="6">
        <v>0.22736500000000001</v>
      </c>
      <c r="J32" s="1">
        <v>7.5059999999999997E-3</v>
      </c>
      <c r="K32" s="1">
        <v>0.85527200000000003</v>
      </c>
      <c r="L32" s="1"/>
      <c r="M32" s="1"/>
      <c r="N32" s="1"/>
      <c r="O32" s="1"/>
      <c r="Q32" s="1"/>
      <c r="R32" s="1"/>
      <c r="T32" s="1"/>
      <c r="U32" s="1"/>
    </row>
    <row r="33" spans="2:21" ht="15" x14ac:dyDescent="0.2">
      <c r="B33" s="7" t="s">
        <v>69</v>
      </c>
      <c r="C33" s="2">
        <v>2485</v>
      </c>
      <c r="D33" s="2">
        <v>2485</v>
      </c>
      <c r="E33" s="6">
        <v>5069</v>
      </c>
      <c r="F33" s="6">
        <v>4.0796780000000004</v>
      </c>
      <c r="G33" s="6">
        <v>19</v>
      </c>
      <c r="H33" s="1">
        <v>6.3109989999999998</v>
      </c>
      <c r="I33" s="6">
        <v>0.277111</v>
      </c>
      <c r="J33" s="6">
        <v>-7.1364999999999998E-2</v>
      </c>
      <c r="K33" s="6">
        <v>0.81233</v>
      </c>
      <c r="L33" s="1"/>
      <c r="M33" s="1"/>
      <c r="N33" s="1"/>
      <c r="O33" s="1"/>
      <c r="Q33" s="1"/>
      <c r="R33" s="1"/>
      <c r="T33" s="1"/>
      <c r="U33" s="1"/>
    </row>
    <row r="34" spans="2:21" x14ac:dyDescent="0.2">
      <c r="B34" t="s">
        <v>23</v>
      </c>
      <c r="C34" s="2">
        <v>4271</v>
      </c>
      <c r="D34" s="2">
        <v>4253</v>
      </c>
      <c r="E34" s="2">
        <v>8897</v>
      </c>
      <c r="F34" s="2">
        <v>4.1838699999999998</v>
      </c>
      <c r="G34" s="1">
        <v>10</v>
      </c>
      <c r="H34" s="1">
        <v>4.5003140000000004</v>
      </c>
      <c r="I34" s="1">
        <v>0.13600400000000001</v>
      </c>
      <c r="J34" s="1">
        <v>-0.30412099999999997</v>
      </c>
      <c r="K34" s="1">
        <v>0.66861400000000004</v>
      </c>
      <c r="L34" s="1">
        <v>0.38726500000000003</v>
      </c>
      <c r="M34" s="1">
        <v>3.4471000000000002E-2</v>
      </c>
      <c r="N34" s="1">
        <v>3.1146E-2</v>
      </c>
      <c r="O34" s="1">
        <v>3.6928000000000002E-2</v>
      </c>
      <c r="Q34" s="1">
        <f>0.034191</f>
        <v>3.4190999999999999E-2</v>
      </c>
      <c r="R34" s="1">
        <v>3.1310999999999999E-2</v>
      </c>
      <c r="S34" s="1">
        <v>3.2079999999999997E-2</v>
      </c>
    </row>
    <row r="35" spans="2:21" x14ac:dyDescent="0.2">
      <c r="B35" s="4" t="s">
        <v>47</v>
      </c>
      <c r="C35" s="2">
        <v>6120</v>
      </c>
      <c r="D35" s="1">
        <v>6120</v>
      </c>
      <c r="E35" s="1">
        <v>50290</v>
      </c>
      <c r="F35" s="1">
        <v>16.434640999999999</v>
      </c>
      <c r="G35" s="2">
        <v>7</v>
      </c>
      <c r="H35" s="1">
        <v>2.110884</v>
      </c>
      <c r="I35" s="1">
        <v>0.67965299999999995</v>
      </c>
      <c r="J35" s="1">
        <v>-0.232705</v>
      </c>
      <c r="K35" s="1">
        <v>0.48571799999999998</v>
      </c>
      <c r="L35" s="1">
        <v>0.47822999999999999</v>
      </c>
      <c r="M35" s="1">
        <v>4.6715E-2</v>
      </c>
      <c r="N35" s="1">
        <v>1.7670999999999999E-2</v>
      </c>
      <c r="O35" s="1">
        <f>0.04508</f>
        <v>4.5080000000000002E-2</v>
      </c>
      <c r="Q35" s="1">
        <v>4.5553999999999997E-2</v>
      </c>
      <c r="R35" s="1">
        <v>3.7802000000000002E-2</v>
      </c>
      <c r="S35" s="1">
        <v>3.7207999999999998E-2</v>
      </c>
    </row>
    <row r="36" spans="2:21" x14ac:dyDescent="0.2">
      <c r="B36" s="4" t="s">
        <v>48</v>
      </c>
      <c r="C36" s="2">
        <v>6434</v>
      </c>
      <c r="D36" s="2">
        <v>6434</v>
      </c>
      <c r="E36" s="2">
        <v>53658</v>
      </c>
      <c r="F36" s="2">
        <v>16.679514999999999</v>
      </c>
      <c r="G36" s="1">
        <v>7</v>
      </c>
      <c r="H36" s="1">
        <v>2.1198700000000001</v>
      </c>
      <c r="I36" s="1">
        <v>0.67548299999999994</v>
      </c>
      <c r="J36" s="1">
        <v>-0.223025</v>
      </c>
      <c r="K36" s="1">
        <v>0.50579200000000002</v>
      </c>
      <c r="L36" s="1">
        <v>0.45735300000000001</v>
      </c>
      <c r="M36" s="1">
        <f>0.044773</f>
        <v>4.4773E-2</v>
      </c>
      <c r="N36" s="1">
        <v>1.7153999999999999E-2</v>
      </c>
      <c r="O36" s="1">
        <v>4.5599000000000001E-2</v>
      </c>
      <c r="Q36" s="1">
        <v>4.3993999999999998E-2</v>
      </c>
      <c r="R36" s="1">
        <v>4.0370999999999997E-2</v>
      </c>
      <c r="S36" s="1">
        <v>3.6506999999999998E-2</v>
      </c>
    </row>
    <row r="37" spans="2:21" x14ac:dyDescent="0.2">
      <c r="B37" s="4" t="s">
        <v>58</v>
      </c>
      <c r="C37" s="2">
        <v>8717</v>
      </c>
      <c r="D37" s="1">
        <v>8717</v>
      </c>
      <c r="E37" s="1">
        <v>31525</v>
      </c>
      <c r="F37" s="1">
        <v>7.2329929999999996</v>
      </c>
      <c r="G37" s="1">
        <v>10</v>
      </c>
      <c r="H37" s="1">
        <v>4.5719640000000004</v>
      </c>
      <c r="I37" s="1">
        <v>8.6210000000000002E-3</v>
      </c>
      <c r="J37" s="1">
        <v>5.1568999999999997E-2</v>
      </c>
      <c r="K37" s="1">
        <v>0.401368</v>
      </c>
      <c r="L37" s="1">
        <v>0.43434</v>
      </c>
      <c r="M37" s="1">
        <v>0.196104</v>
      </c>
      <c r="N37" t="s">
        <v>61</v>
      </c>
      <c r="R37" s="1">
        <v>0.16922999999999999</v>
      </c>
      <c r="S37" s="1">
        <v>0.16870299999999999</v>
      </c>
    </row>
    <row r="38" spans="2:21" x14ac:dyDescent="0.2">
      <c r="B38" t="s">
        <v>59</v>
      </c>
      <c r="C38" s="2">
        <v>12591</v>
      </c>
      <c r="D38" s="1">
        <v>12495</v>
      </c>
      <c r="E38" s="1">
        <v>49563</v>
      </c>
      <c r="F38" s="1">
        <v>7.9332529999999997</v>
      </c>
      <c r="G38" s="1">
        <v>10</v>
      </c>
      <c r="H38" s="1">
        <v>4.4225279999999998</v>
      </c>
      <c r="I38" s="1">
        <v>0.19173000000000001</v>
      </c>
      <c r="J38" s="1">
        <v>-4.6058000000000002E-2</v>
      </c>
      <c r="K38" s="1">
        <v>0.64675199999999999</v>
      </c>
      <c r="R38" s="1">
        <v>8.5103999999999999E-2</v>
      </c>
      <c r="S38" s="1">
        <v>9.0324000000000002E-2</v>
      </c>
    </row>
    <row r="39" spans="2:21" x14ac:dyDescent="0.2">
      <c r="B39" t="s">
        <v>52</v>
      </c>
      <c r="C39" s="2">
        <v>30837</v>
      </c>
      <c r="D39" s="2"/>
      <c r="E39" s="2"/>
      <c r="F39" s="2"/>
      <c r="G39" s="2"/>
      <c r="H39" s="2"/>
      <c r="I39" s="2"/>
      <c r="J39" s="2"/>
      <c r="K39" s="2"/>
    </row>
    <row r="40" spans="2:21" x14ac:dyDescent="0.2">
      <c r="B40" t="s">
        <v>53</v>
      </c>
      <c r="C40" s="2">
        <v>34546</v>
      </c>
      <c r="D40" s="2"/>
      <c r="E40" s="2"/>
      <c r="F40" s="2"/>
      <c r="G40" s="2"/>
      <c r="H40" s="2"/>
      <c r="I40" s="2"/>
      <c r="J40" s="2"/>
      <c r="K40" s="2"/>
    </row>
    <row r="41" spans="2:21" x14ac:dyDescent="0.2">
      <c r="B41" t="s">
        <v>54</v>
      </c>
      <c r="C41" s="2">
        <v>62586</v>
      </c>
      <c r="D41" s="2"/>
      <c r="E41" s="2"/>
      <c r="F41" s="2"/>
      <c r="G41" s="2"/>
      <c r="H41" s="2"/>
      <c r="I41" s="2"/>
      <c r="J41" s="2"/>
      <c r="K41" s="2"/>
    </row>
    <row r="42" spans="2:21" x14ac:dyDescent="0.2">
      <c r="B42" t="s">
        <v>55</v>
      </c>
      <c r="C42" s="2">
        <v>281903</v>
      </c>
      <c r="D42" s="2"/>
      <c r="E42" s="2"/>
      <c r="F42" s="2"/>
      <c r="G42" s="2"/>
      <c r="H42" s="2"/>
      <c r="I42" s="2"/>
      <c r="J42" s="2"/>
      <c r="K42" s="2"/>
    </row>
    <row r="43" spans="2:21" x14ac:dyDescent="0.2">
      <c r="C43" s="2"/>
      <c r="D43" s="2"/>
      <c r="E43" s="2"/>
      <c r="F43" s="2"/>
      <c r="G43" s="2"/>
      <c r="H43" s="2"/>
      <c r="I43" s="2"/>
      <c r="J43" s="2"/>
      <c r="K43" s="2"/>
    </row>
    <row r="44" spans="2:21" x14ac:dyDescent="0.2">
      <c r="C44" s="2"/>
      <c r="D44" s="2"/>
      <c r="E44" s="2"/>
      <c r="F44" s="2"/>
      <c r="G44" s="2"/>
      <c r="H44" s="2"/>
      <c r="I44" s="2"/>
      <c r="J44" s="2"/>
      <c r="K44" s="2"/>
    </row>
    <row r="45" spans="2:21" x14ac:dyDescent="0.2">
      <c r="B45" t="s">
        <v>15</v>
      </c>
      <c r="C45" s="2">
        <v>369</v>
      </c>
      <c r="D45" s="1">
        <v>369</v>
      </c>
      <c r="E45" s="2">
        <v>430</v>
      </c>
      <c r="F45" s="1">
        <v>2.3306230000000001</v>
      </c>
      <c r="G45" s="1">
        <v>39</v>
      </c>
      <c r="H45" s="1">
        <v>13.732737999999999</v>
      </c>
      <c r="I45" s="1">
        <v>3.1961000000000003E-2</v>
      </c>
      <c r="J45" s="1">
        <v>0.13701199999999999</v>
      </c>
      <c r="K45" s="1">
        <v>0.83436500000000002</v>
      </c>
      <c r="L45" s="1">
        <v>0.19927900000000001</v>
      </c>
      <c r="M45" s="1">
        <v>5.1306999999999998E-2</v>
      </c>
      <c r="N45" s="1">
        <v>2.3897999999999999E-2</v>
      </c>
      <c r="O45" s="1">
        <v>4.5718000000000002E-2</v>
      </c>
      <c r="Q45" s="1">
        <v>5.2040999999999997E-2</v>
      </c>
      <c r="R45" s="1">
        <v>3.7397E-2</v>
      </c>
      <c r="S45" s="1">
        <v>3.8528E-2</v>
      </c>
      <c r="T45" s="1"/>
      <c r="U45" s="1"/>
    </row>
    <row r="46" spans="2:21" x14ac:dyDescent="0.2">
      <c r="B46" t="s">
        <v>14</v>
      </c>
      <c r="C46" s="2">
        <v>1467</v>
      </c>
      <c r="D46" s="1">
        <v>1093</v>
      </c>
      <c r="E46" s="1">
        <v>1454</v>
      </c>
      <c r="F46" s="1">
        <v>2.6605669999999999</v>
      </c>
      <c r="G46" s="1">
        <v>51</v>
      </c>
      <c r="H46" s="1">
        <v>17.450337999999999</v>
      </c>
      <c r="I46" s="1">
        <v>0.18709600000000001</v>
      </c>
      <c r="J46" s="1">
        <v>-0.13729</v>
      </c>
      <c r="K46" s="1">
        <v>0.90564299999999998</v>
      </c>
      <c r="L46" s="1">
        <v>0.21993199999999999</v>
      </c>
      <c r="M46" s="1">
        <v>2.7962000000000001E-2</v>
      </c>
      <c r="N46" s="1">
        <v>9.1719999999999996E-3</v>
      </c>
      <c r="O46" s="1">
        <v>2.6599999999999999E-2</v>
      </c>
      <c r="Q46" s="1">
        <v>2.7203999999999999E-2</v>
      </c>
      <c r="R46" s="1">
        <v>1.8377000000000001E-2</v>
      </c>
      <c r="S46" s="1">
        <v>2.0896999999999999E-2</v>
      </c>
      <c r="T46" s="1"/>
      <c r="U46" s="1"/>
    </row>
    <row r="47" spans="2:21" x14ac:dyDescent="0.2">
      <c r="B47" t="s">
        <v>67</v>
      </c>
      <c r="C47" s="2">
        <v>2905</v>
      </c>
      <c r="D47" s="2">
        <v>2905</v>
      </c>
      <c r="E47" s="1">
        <v>15645</v>
      </c>
      <c r="F47" s="1">
        <v>10.771084</v>
      </c>
      <c r="G47" s="1">
        <v>14</v>
      </c>
      <c r="H47" s="1">
        <v>4.0971390000000003</v>
      </c>
      <c r="I47" s="1">
        <v>0.58916999999999997</v>
      </c>
      <c r="J47" s="1">
        <v>4.8943E-2</v>
      </c>
      <c r="K47" s="1">
        <v>0.65458099999999997</v>
      </c>
      <c r="L47" s="1"/>
      <c r="M47" s="1"/>
      <c r="N47" s="1"/>
      <c r="O47" s="1"/>
      <c r="Q47" s="1"/>
      <c r="R47" s="1"/>
      <c r="S47" s="1"/>
      <c r="T47" s="1"/>
      <c r="U47" s="1"/>
    </row>
    <row r="48" spans="2:21" x14ac:dyDescent="0.2">
      <c r="B48" s="4" t="s">
        <v>16</v>
      </c>
      <c r="C48" s="2">
        <v>2939</v>
      </c>
      <c r="D48" s="2">
        <v>2905</v>
      </c>
      <c r="E48" s="2">
        <v>15645</v>
      </c>
      <c r="F48" s="1">
        <v>10.771084</v>
      </c>
      <c r="G48" s="1">
        <v>14</v>
      </c>
      <c r="H48" s="1">
        <v>4.0971390000000003</v>
      </c>
      <c r="I48" s="1">
        <v>0.58916999999999997</v>
      </c>
      <c r="J48" s="1">
        <v>4.8943E-2</v>
      </c>
      <c r="K48" s="1">
        <v>0.65501900000000002</v>
      </c>
      <c r="L48" s="1">
        <v>0.41559499999999999</v>
      </c>
      <c r="M48" s="1">
        <v>7.9265000000000002E-2</v>
      </c>
      <c r="N48" s="1">
        <v>3.3875000000000002E-2</v>
      </c>
      <c r="O48" s="1">
        <v>7.7705999999999997E-2</v>
      </c>
      <c r="Q48" s="1">
        <v>7.9138E-2</v>
      </c>
      <c r="R48" s="1">
        <v>5.9091999999999999E-2</v>
      </c>
      <c r="S48" s="1">
        <v>5.8756000000000003E-2</v>
      </c>
      <c r="T48" s="1"/>
      <c r="U48" s="1"/>
    </row>
    <row r="49" spans="2:21" x14ac:dyDescent="0.2">
      <c r="B49" s="5" t="s">
        <v>66</v>
      </c>
      <c r="C49" s="2">
        <v>4941</v>
      </c>
      <c r="D49" s="2">
        <v>4941</v>
      </c>
      <c r="E49" s="2">
        <v>6594</v>
      </c>
      <c r="F49" s="2">
        <v>2.669095</v>
      </c>
      <c r="G49" s="1">
        <v>46</v>
      </c>
      <c r="H49" s="1">
        <v>18.989184999999999</v>
      </c>
      <c r="I49" s="1">
        <v>0.10653899999999999</v>
      </c>
      <c r="J49" s="1">
        <v>3.457E-3</v>
      </c>
      <c r="K49" s="1">
        <v>0.93804299999999996</v>
      </c>
      <c r="L49" s="1"/>
      <c r="M49" s="1"/>
      <c r="N49" s="1"/>
      <c r="O49" s="1"/>
      <c r="Q49" s="1"/>
      <c r="R49" s="1"/>
      <c r="S49" s="1"/>
      <c r="T49" s="1"/>
      <c r="U49" s="1"/>
    </row>
    <row r="50" spans="2:21" x14ac:dyDescent="0.2">
      <c r="B50" s="4" t="s">
        <v>50</v>
      </c>
      <c r="C50" s="2">
        <v>13844</v>
      </c>
      <c r="D50" s="2">
        <v>13478</v>
      </c>
      <c r="E50" s="2">
        <v>16922</v>
      </c>
      <c r="F50" s="1">
        <v>2.5110549999999998</v>
      </c>
      <c r="G50" s="1">
        <v>147</v>
      </c>
      <c r="H50" s="1">
        <v>49.504871000000001</v>
      </c>
      <c r="I50" s="1">
        <v>0.111377</v>
      </c>
      <c r="J50" s="1">
        <v>1.0474000000000001E-2</v>
      </c>
      <c r="K50" s="1">
        <v>0.96615499999999999</v>
      </c>
      <c r="L50" s="1">
        <v>0.133969</v>
      </c>
      <c r="M50" s="1">
        <v>2.4799999999999999E-2</v>
      </c>
      <c r="N50" s="1">
        <v>3.7799999999999999E-3</v>
      </c>
      <c r="O50" s="1">
        <v>2.3245999999999999E-2</v>
      </c>
      <c r="Q50" s="1">
        <v>2.4308E-2</v>
      </c>
      <c r="R50" s="1">
        <v>1.8492999999999999E-2</v>
      </c>
      <c r="S50" s="1">
        <v>1.8131999999999999E-2</v>
      </c>
    </row>
    <row r="51" spans="2:21" x14ac:dyDescent="0.2">
      <c r="B51" t="s">
        <v>56</v>
      </c>
      <c r="C51" s="2">
        <v>16167</v>
      </c>
      <c r="D51" s="2"/>
      <c r="E51" s="2"/>
      <c r="F51" s="2"/>
      <c r="G51" s="2"/>
      <c r="H51" s="2"/>
      <c r="I51" s="2"/>
      <c r="J51" s="2"/>
      <c r="K51" s="2"/>
    </row>
    <row r="52" spans="2:21" x14ac:dyDescent="0.2">
      <c r="B52" t="s">
        <v>57</v>
      </c>
      <c r="C52" s="2">
        <v>34761</v>
      </c>
      <c r="D52" s="1">
        <v>34761</v>
      </c>
      <c r="E52" s="1">
        <v>107720</v>
      </c>
      <c r="F52" s="1">
        <v>6.1977500000000001</v>
      </c>
      <c r="G52" s="1">
        <v>10</v>
      </c>
      <c r="H52" s="1">
        <v>3.7678759999999998</v>
      </c>
      <c r="I52" s="1">
        <v>0.421236</v>
      </c>
      <c r="J52" s="1">
        <v>-0.214867</v>
      </c>
      <c r="K52" s="1">
        <v>0.62003699999999995</v>
      </c>
      <c r="R52" s="1">
        <v>1.2335E-2</v>
      </c>
      <c r="S52">
        <v>1.3069000000000001E-2</v>
      </c>
    </row>
    <row r="53" spans="2:21" x14ac:dyDescent="0.2">
      <c r="C53" s="2"/>
      <c r="D53" s="2"/>
      <c r="E53" s="2"/>
      <c r="F53" s="2"/>
      <c r="G53" s="2"/>
      <c r="H53" s="2"/>
      <c r="I53" s="2"/>
      <c r="J53" s="2"/>
      <c r="K53" s="2"/>
    </row>
    <row r="54" spans="2:21" x14ac:dyDescent="0.2">
      <c r="C54" s="2"/>
      <c r="D54" s="2"/>
      <c r="E54" s="2"/>
      <c r="F54" s="2"/>
      <c r="G54" s="2"/>
      <c r="H54" s="2"/>
      <c r="I54" s="2"/>
      <c r="J54" s="2"/>
      <c r="K54" s="2"/>
    </row>
    <row r="55" spans="2:21" x14ac:dyDescent="0.2">
      <c r="B55" t="s">
        <v>11</v>
      </c>
      <c r="C55" s="2">
        <v>829</v>
      </c>
      <c r="D55" s="2">
        <v>829</v>
      </c>
      <c r="E55" s="2">
        <v>1473</v>
      </c>
      <c r="F55" s="2">
        <v>3.5536789999999998</v>
      </c>
      <c r="G55" s="2">
        <v>10</v>
      </c>
      <c r="H55" s="3">
        <v>5.0400369999999999</v>
      </c>
      <c r="I55" s="3">
        <v>7.9170000000000004E-3</v>
      </c>
      <c r="J55" s="3">
        <v>-0.164548</v>
      </c>
      <c r="K55" s="3">
        <v>0.61389499999999997</v>
      </c>
      <c r="M55" s="1"/>
      <c r="R55" s="1"/>
      <c r="T55" s="1"/>
      <c r="U55" s="1"/>
    </row>
    <row r="58" spans="2:21" x14ac:dyDescent="0.2"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21" x14ac:dyDescent="0.2">
      <c r="C59" s="2"/>
      <c r="D59" s="2"/>
      <c r="E59" s="2"/>
      <c r="F59" s="2"/>
      <c r="G59" s="2"/>
      <c r="H59" s="2"/>
      <c r="I59" s="2"/>
      <c r="J59" s="2"/>
      <c r="K59" s="2"/>
    </row>
    <row r="60" spans="2:21" x14ac:dyDescent="0.2">
      <c r="C60" s="2"/>
      <c r="D60" s="2"/>
      <c r="E60" s="2"/>
      <c r="F60" s="2"/>
      <c r="G60" s="2"/>
      <c r="H60" s="2"/>
      <c r="I60" s="2"/>
      <c r="J60" s="2"/>
      <c r="K60" s="2"/>
    </row>
    <row r="61" spans="2:21" x14ac:dyDescent="0.2">
      <c r="C61" s="2"/>
      <c r="D61" s="2"/>
      <c r="E61" s="2"/>
      <c r="F61" s="2"/>
      <c r="G61" s="2"/>
      <c r="H61" s="2"/>
      <c r="I61" s="2"/>
      <c r="J61" s="2"/>
      <c r="K61" s="2"/>
    </row>
    <row r="62" spans="2:21" x14ac:dyDescent="0.2">
      <c r="C62" s="2"/>
      <c r="D62" s="2"/>
      <c r="E62" s="2"/>
      <c r="F62" s="2"/>
      <c r="G62" s="2"/>
      <c r="H62" s="2"/>
      <c r="I62" s="2"/>
      <c r="J62" s="2"/>
      <c r="K62" s="2"/>
    </row>
    <row r="63" spans="2:21" x14ac:dyDescent="0.2">
      <c r="C63" s="2"/>
      <c r="D63" s="2"/>
      <c r="E63" s="2"/>
      <c r="F63" s="2"/>
      <c r="G63" s="2"/>
      <c r="H63" s="2"/>
      <c r="I63" s="2"/>
      <c r="J63" s="2"/>
      <c r="K63" s="2"/>
      <c r="M63" s="2"/>
      <c r="N63" s="2"/>
      <c r="O63" s="2"/>
      <c r="P63" s="2"/>
    </row>
    <row r="64" spans="2:21" x14ac:dyDescent="0.2">
      <c r="C64" s="2"/>
      <c r="D64" s="1"/>
      <c r="E64" s="1"/>
      <c r="F64" s="1"/>
      <c r="G64" s="1"/>
      <c r="H64" s="1"/>
      <c r="I64" s="1"/>
      <c r="J64" s="1"/>
      <c r="K64" s="1"/>
      <c r="M64" s="1"/>
      <c r="R64" s="1"/>
      <c r="T64" s="1"/>
      <c r="U64" s="1"/>
    </row>
    <row r="65" spans="1:21" x14ac:dyDescent="0.2">
      <c r="C65" s="2"/>
      <c r="D65" s="1"/>
      <c r="E65" s="1"/>
      <c r="F65" s="1"/>
      <c r="G65" s="1"/>
      <c r="H65" s="1"/>
      <c r="I65" s="1"/>
      <c r="J65" s="1"/>
      <c r="K65" s="1"/>
      <c r="M65" s="1"/>
      <c r="R65" s="1"/>
    </row>
    <row r="66" spans="1:21" x14ac:dyDescent="0.2">
      <c r="C66" s="2"/>
      <c r="D66" s="3"/>
      <c r="E66" s="3"/>
      <c r="F66" s="3"/>
      <c r="G66" s="3"/>
      <c r="H66" s="3"/>
      <c r="I66" s="3"/>
      <c r="J66" s="2"/>
      <c r="K66" s="2"/>
      <c r="M66" s="1"/>
      <c r="R66" s="1"/>
      <c r="T66" s="1"/>
      <c r="U66" s="1"/>
    </row>
    <row r="67" spans="1:21" x14ac:dyDescent="0.2">
      <c r="C67" s="2"/>
      <c r="D67" s="2"/>
      <c r="E67" s="2"/>
      <c r="F67" s="2"/>
      <c r="G67" s="2"/>
      <c r="H67" s="2"/>
      <c r="I67" s="2"/>
      <c r="J67" s="2"/>
      <c r="K67" s="2"/>
    </row>
    <row r="68" spans="1:21" x14ac:dyDescent="0.2">
      <c r="C68" s="2"/>
      <c r="D68" s="2"/>
      <c r="E68" s="2"/>
      <c r="F68" s="2"/>
      <c r="G68" s="2"/>
      <c r="H68" s="2"/>
      <c r="I68" s="2"/>
      <c r="J68" s="2"/>
      <c r="K68" s="2"/>
    </row>
    <row r="69" spans="1:21" x14ac:dyDescent="0.2">
      <c r="A69" t="s">
        <v>22</v>
      </c>
      <c r="C69" s="2"/>
      <c r="D69" s="2"/>
      <c r="E69" s="2"/>
      <c r="F69" s="1"/>
      <c r="G69" s="1"/>
      <c r="H69" s="1"/>
      <c r="I69" s="1"/>
      <c r="J69" s="1"/>
      <c r="K69" s="1"/>
      <c r="M69" s="1"/>
      <c r="N69" s="1"/>
      <c r="O69" s="1"/>
      <c r="P69" s="1"/>
      <c r="R69" s="1"/>
      <c r="T69" s="1"/>
      <c r="U69" s="1"/>
    </row>
    <row r="70" spans="1:21" x14ac:dyDescent="0.2">
      <c r="C70" s="2"/>
      <c r="D70" s="2"/>
      <c r="E70" s="1"/>
      <c r="F70" s="1"/>
      <c r="G70" s="1"/>
      <c r="H70" s="1"/>
      <c r="I70" s="1"/>
      <c r="J70" s="2"/>
      <c r="K70" s="1"/>
      <c r="T70" s="1"/>
      <c r="U70" s="1"/>
    </row>
    <row r="71" spans="1:21" x14ac:dyDescent="0.2">
      <c r="C71" s="2"/>
      <c r="D71" s="2"/>
      <c r="E71" s="2"/>
      <c r="F71" s="2"/>
      <c r="G71" s="2"/>
      <c r="H71" s="2"/>
      <c r="I71" s="2"/>
      <c r="J71" s="2"/>
      <c r="K71" s="2"/>
      <c r="M71" s="2"/>
    </row>
    <row r="72" spans="1:21" x14ac:dyDescent="0.2">
      <c r="C72" s="2"/>
      <c r="D72" s="2"/>
      <c r="E72" s="2"/>
      <c r="F72" s="2"/>
      <c r="G72" s="2"/>
      <c r="H72" s="1"/>
      <c r="I72" s="1"/>
      <c r="J72" s="1"/>
      <c r="K72" s="1"/>
      <c r="M72" s="1"/>
      <c r="R72" s="1"/>
    </row>
    <row r="73" spans="1:21" x14ac:dyDescent="0.2">
      <c r="C73" s="2"/>
      <c r="D73" s="2"/>
      <c r="E73" s="2"/>
      <c r="F73" s="2"/>
      <c r="G73" s="2"/>
      <c r="H73" s="2"/>
      <c r="I73" s="2"/>
      <c r="J73" s="2"/>
      <c r="K73" s="2"/>
    </row>
    <row r="74" spans="1:21" x14ac:dyDescent="0.2">
      <c r="C74" s="2"/>
      <c r="D74" s="2"/>
      <c r="E74" s="2"/>
      <c r="F74" s="2"/>
      <c r="G74" s="2"/>
      <c r="H74" s="2"/>
      <c r="I74" s="2"/>
      <c r="J74" s="2"/>
      <c r="K74" s="2"/>
    </row>
    <row r="75" spans="1:21" x14ac:dyDescent="0.2">
      <c r="C75" s="2"/>
      <c r="D75" s="2"/>
      <c r="E75" s="2"/>
      <c r="F75" s="2"/>
      <c r="G75" s="2"/>
      <c r="H75" s="2"/>
      <c r="I75" s="2"/>
      <c r="J75" s="2"/>
      <c r="K75" s="2"/>
    </row>
    <row r="76" spans="1:21" x14ac:dyDescent="0.2">
      <c r="C76" s="2"/>
      <c r="D76" s="2"/>
      <c r="E76" s="2"/>
      <c r="F76" s="2"/>
      <c r="G76" s="2"/>
      <c r="H76" s="2"/>
      <c r="I76" s="2"/>
      <c r="J76" s="2"/>
      <c r="K76" s="2"/>
    </row>
    <row r="77" spans="1:21" x14ac:dyDescent="0.2">
      <c r="C77" s="2"/>
      <c r="D77" s="2"/>
      <c r="E77" s="2"/>
      <c r="F77" s="2"/>
      <c r="G77" s="2"/>
      <c r="H77" s="2"/>
      <c r="I77" s="2"/>
      <c r="J77" s="2"/>
      <c r="K77" s="2"/>
    </row>
    <row r="78" spans="1:21" x14ac:dyDescent="0.2">
      <c r="C78" s="2"/>
      <c r="D78" s="2"/>
      <c r="E78" s="2"/>
      <c r="F78" s="2"/>
      <c r="G78" s="2"/>
      <c r="H78" s="2"/>
      <c r="I78" s="2"/>
      <c r="J78" s="2"/>
      <c r="K78" s="2"/>
    </row>
    <row r="79" spans="1:21" x14ac:dyDescent="0.2">
      <c r="C79" s="2"/>
      <c r="D79" s="2"/>
      <c r="E79" s="2"/>
      <c r="F79" s="2"/>
      <c r="G79" s="2"/>
      <c r="H79" s="2"/>
      <c r="I79" s="2"/>
      <c r="J79" s="2"/>
      <c r="K79" s="2"/>
    </row>
    <row r="80" spans="1:21" x14ac:dyDescent="0.2">
      <c r="C80" s="2"/>
      <c r="D80" s="2"/>
      <c r="E80" s="2"/>
      <c r="F80" s="2"/>
      <c r="G80" s="2"/>
      <c r="H80" s="2"/>
      <c r="I80" s="2"/>
      <c r="J80" s="2"/>
      <c r="K80" s="2"/>
    </row>
    <row r="81" spans="1:21" x14ac:dyDescent="0.2">
      <c r="C81" s="2"/>
      <c r="D81" s="2"/>
      <c r="E81" s="2"/>
      <c r="F81" s="2"/>
      <c r="G81" s="2"/>
      <c r="H81" s="2"/>
      <c r="I81" s="2"/>
      <c r="J81" s="2"/>
      <c r="K81" s="2"/>
    </row>
    <row r="82" spans="1:21" x14ac:dyDescent="0.2">
      <c r="C82" s="2"/>
      <c r="D82" s="2"/>
      <c r="E82" s="2"/>
      <c r="F82" s="2"/>
      <c r="G82" s="2"/>
      <c r="H82" s="2"/>
      <c r="I82" s="2"/>
      <c r="J82" s="2"/>
      <c r="K82" s="2"/>
    </row>
    <row r="83" spans="1:21" x14ac:dyDescent="0.2">
      <c r="C83" s="2"/>
      <c r="D83" s="2"/>
      <c r="E83" s="2"/>
      <c r="F83" s="2"/>
      <c r="G83" s="2"/>
      <c r="H83" s="2"/>
      <c r="I83" s="2"/>
      <c r="J83" s="2"/>
      <c r="K83" s="2"/>
    </row>
    <row r="84" spans="1:21" x14ac:dyDescent="0.2">
      <c r="C84" s="2"/>
      <c r="D84" s="2"/>
      <c r="E84" s="2"/>
      <c r="F84" s="2"/>
      <c r="G84" s="2"/>
      <c r="H84" s="2"/>
      <c r="I84" s="2"/>
      <c r="J84" s="2"/>
      <c r="K84" s="2"/>
    </row>
    <row r="85" spans="1:21" x14ac:dyDescent="0.2">
      <c r="C85" s="2"/>
      <c r="D85" s="2"/>
      <c r="E85" s="2"/>
      <c r="F85" s="2"/>
      <c r="G85" s="2"/>
      <c r="H85" s="2"/>
      <c r="I85" s="2"/>
      <c r="J85" s="2"/>
      <c r="K85" s="2"/>
    </row>
    <row r="86" spans="1:21" x14ac:dyDescent="0.2">
      <c r="A86" t="s">
        <v>24</v>
      </c>
      <c r="C86" s="2"/>
      <c r="D86" s="2"/>
      <c r="E86" s="2"/>
      <c r="F86" s="2"/>
      <c r="G86" s="2"/>
      <c r="H86" s="2"/>
      <c r="I86" s="2"/>
      <c r="J86" s="2"/>
      <c r="K86" s="2"/>
    </row>
    <row r="87" spans="1:21" x14ac:dyDescent="0.2">
      <c r="C87" s="2"/>
      <c r="D87" s="2"/>
      <c r="E87" s="1"/>
      <c r="F87" s="1"/>
      <c r="G87" s="1"/>
      <c r="H87" s="1"/>
      <c r="I87" s="1"/>
      <c r="J87" s="1"/>
      <c r="K87" s="1"/>
      <c r="T87" s="1"/>
      <c r="U87" s="1"/>
    </row>
    <row r="88" spans="1:21" x14ac:dyDescent="0.2">
      <c r="C88" s="2"/>
      <c r="D88" s="2"/>
      <c r="E88" s="2"/>
      <c r="F88" s="2"/>
      <c r="G88" s="1"/>
      <c r="H88" s="1"/>
      <c r="I88" s="1"/>
      <c r="J88" s="1"/>
      <c r="K88" s="1"/>
      <c r="M88" s="1"/>
      <c r="R88" s="1"/>
    </row>
    <row r="89" spans="1:21" x14ac:dyDescent="0.2">
      <c r="C89" s="2"/>
      <c r="D89" s="2"/>
      <c r="E89" s="2"/>
      <c r="F89" s="2"/>
      <c r="G89" s="2"/>
      <c r="H89" s="2"/>
      <c r="I89" s="2"/>
      <c r="J89" s="2"/>
      <c r="K89" s="2"/>
    </row>
    <row r="90" spans="1:21" x14ac:dyDescent="0.2">
      <c r="C90" s="2"/>
      <c r="D90" s="2"/>
      <c r="E90" s="2"/>
      <c r="F90" s="2"/>
      <c r="G90" s="2"/>
      <c r="H90" s="2"/>
      <c r="I90" s="2"/>
      <c r="J90" s="2"/>
      <c r="K90" s="2"/>
    </row>
    <row r="91" spans="1:21" x14ac:dyDescent="0.2">
      <c r="C91" s="2"/>
      <c r="D91" s="2"/>
      <c r="E91" s="2"/>
      <c r="F91" s="2"/>
      <c r="G91" s="2"/>
      <c r="H91" s="2"/>
      <c r="I91" s="2"/>
      <c r="J91" s="2"/>
      <c r="K91" s="2"/>
    </row>
    <row r="92" spans="1:21" x14ac:dyDescent="0.2">
      <c r="C92" s="2"/>
      <c r="D92" s="2"/>
      <c r="E92" s="2"/>
      <c r="F92" s="2"/>
      <c r="G92" s="2"/>
      <c r="H92" s="2"/>
      <c r="I92" s="2"/>
      <c r="J92" s="2"/>
      <c r="K92" s="2"/>
    </row>
    <row r="93" spans="1:21" x14ac:dyDescent="0.2">
      <c r="C93" s="2"/>
      <c r="D93" s="2"/>
      <c r="E93" s="2"/>
      <c r="F93" s="2"/>
      <c r="G93" s="2"/>
      <c r="H93" s="2"/>
      <c r="I93" s="2"/>
      <c r="J93" s="2"/>
      <c r="K93" s="2"/>
    </row>
    <row r="94" spans="1:21" x14ac:dyDescent="0.2">
      <c r="C94" s="2"/>
      <c r="D94" s="1"/>
      <c r="E94" s="2"/>
      <c r="F94" s="1"/>
      <c r="G94" s="1"/>
      <c r="H94" s="1"/>
      <c r="I94" s="1"/>
      <c r="J94" s="1"/>
      <c r="K94" s="1"/>
      <c r="R94" s="1"/>
      <c r="T94" s="1"/>
      <c r="U94" s="1"/>
    </row>
    <row r="95" spans="1:21" x14ac:dyDescent="0.2">
      <c r="C95" s="2"/>
      <c r="D95" s="1"/>
      <c r="E95" s="1"/>
      <c r="F95" s="1"/>
      <c r="G95" s="1"/>
      <c r="H95" s="1"/>
      <c r="I95" s="1"/>
      <c r="J95" s="1"/>
      <c r="K95" s="1"/>
      <c r="R95" s="1"/>
      <c r="T95" s="1"/>
      <c r="U95" s="1"/>
    </row>
    <row r="96" spans="1:21" x14ac:dyDescent="0.2">
      <c r="C96" s="2"/>
      <c r="D96" s="2"/>
      <c r="E96" s="2"/>
      <c r="F96" s="1"/>
      <c r="G96" s="1"/>
      <c r="H96" s="1"/>
      <c r="I96" s="1"/>
      <c r="J96" s="1"/>
      <c r="K96" s="1"/>
      <c r="R96" s="1"/>
      <c r="U96" s="1"/>
    </row>
    <row r="97" spans="3:21" x14ac:dyDescent="0.2">
      <c r="C97" s="2"/>
      <c r="D97" s="2"/>
      <c r="E97" s="2"/>
      <c r="F97" s="2"/>
      <c r="G97" s="2"/>
      <c r="H97" s="2"/>
      <c r="I97" s="2"/>
      <c r="J97" s="2"/>
      <c r="K97" s="2"/>
    </row>
    <row r="98" spans="3:21" x14ac:dyDescent="0.2">
      <c r="C98" s="2"/>
      <c r="D98" s="2"/>
      <c r="E98" s="2"/>
      <c r="F98" s="2"/>
      <c r="G98" s="2"/>
      <c r="H98" s="2"/>
      <c r="I98" s="2"/>
      <c r="J98" s="2"/>
      <c r="K98" s="2"/>
    </row>
    <row r="99" spans="3:21" x14ac:dyDescent="0.2">
      <c r="C99" s="2"/>
      <c r="D99" s="2"/>
      <c r="E99" s="2"/>
      <c r="F99" s="2"/>
      <c r="G99" s="2"/>
      <c r="H99" s="2"/>
      <c r="I99" s="2"/>
      <c r="J99" s="2"/>
      <c r="K99" s="2"/>
    </row>
    <row r="100" spans="3:21" x14ac:dyDescent="0.2">
      <c r="C100" s="2"/>
      <c r="D100" s="2"/>
      <c r="E100" s="2"/>
      <c r="F100" s="2"/>
      <c r="G100" s="2"/>
      <c r="H100" s="3"/>
      <c r="I100" s="3"/>
      <c r="J100" s="3"/>
      <c r="K100" s="3"/>
      <c r="M100" s="1"/>
      <c r="R100" s="1"/>
      <c r="T100" s="1"/>
      <c r="U10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3951-E8AC-44A4-934B-024C5AEF5B85}">
  <dimension ref="A1:J50"/>
  <sheetViews>
    <sheetView workbookViewId="0">
      <selection activeCell="L29" sqref="L29"/>
    </sheetView>
  </sheetViews>
  <sheetFormatPr defaultRowHeight="14.25" x14ac:dyDescent="0.2"/>
  <cols>
    <col min="2" max="2" width="22.25" customWidth="1"/>
  </cols>
  <sheetData>
    <row r="1" spans="1:10" x14ac:dyDescent="0.2">
      <c r="B1" t="s">
        <v>63</v>
      </c>
      <c r="C1" t="s">
        <v>40</v>
      </c>
      <c r="D1" t="s">
        <v>2</v>
      </c>
      <c r="E1" t="s">
        <v>4</v>
      </c>
      <c r="F1" t="s">
        <v>3</v>
      </c>
      <c r="G1" t="s">
        <v>41</v>
      </c>
      <c r="H1" t="s">
        <v>42</v>
      </c>
      <c r="I1" t="s">
        <v>5</v>
      </c>
      <c r="J1" t="s">
        <v>64</v>
      </c>
    </row>
    <row r="2" spans="1:10" x14ac:dyDescent="0.2">
      <c r="A2" s="8" t="s">
        <v>71</v>
      </c>
      <c r="B2" s="4" t="s">
        <v>25</v>
      </c>
      <c r="C2">
        <v>0.49493399999999999</v>
      </c>
      <c r="D2">
        <v>0.382324</v>
      </c>
      <c r="E2">
        <v>0.35449199999999997</v>
      </c>
      <c r="F2">
        <v>0.38134800000000002</v>
      </c>
      <c r="G2" s="1">
        <v>0.38116499999999998</v>
      </c>
      <c r="H2" s="1">
        <v>0.38488800000000001</v>
      </c>
      <c r="I2">
        <v>0.34857199999999999</v>
      </c>
      <c r="J2">
        <v>0.34777799999999998</v>
      </c>
    </row>
    <row r="3" spans="1:10" x14ac:dyDescent="0.2">
      <c r="A3" s="8"/>
      <c r="B3" t="s">
        <v>26</v>
      </c>
      <c r="C3">
        <v>0.49432399999999999</v>
      </c>
      <c r="D3" s="1">
        <v>0.385986</v>
      </c>
      <c r="E3" s="1">
        <v>0.351074</v>
      </c>
      <c r="F3" s="1">
        <v>0.38268999999999997</v>
      </c>
      <c r="G3" s="1">
        <v>0.37957800000000003</v>
      </c>
      <c r="H3" s="1">
        <v>0.39019799999999999</v>
      </c>
      <c r="I3">
        <v>0.34851100000000002</v>
      </c>
      <c r="J3" s="1">
        <v>0.355713</v>
      </c>
    </row>
    <row r="4" spans="1:10" x14ac:dyDescent="0.2">
      <c r="A4" s="8"/>
      <c r="B4" s="4" t="s">
        <v>35</v>
      </c>
      <c r="C4" s="1">
        <v>0.49126599999999998</v>
      </c>
      <c r="D4" s="1">
        <v>0.210845</v>
      </c>
      <c r="E4" s="1">
        <v>0.16686100000000001</v>
      </c>
      <c r="F4" s="1">
        <v>0.22556699999999999</v>
      </c>
      <c r="G4" s="1">
        <v>0.194691</v>
      </c>
      <c r="H4" s="1">
        <v>0.210815</v>
      </c>
      <c r="I4" s="1">
        <v>0.17238500000000001</v>
      </c>
      <c r="J4" s="1">
        <v>0.16927900000000001</v>
      </c>
    </row>
    <row r="5" spans="1:10" x14ac:dyDescent="0.2">
      <c r="A5" s="8"/>
      <c r="B5" s="4" t="s">
        <v>27</v>
      </c>
      <c r="C5" s="1">
        <v>0.47725299999999998</v>
      </c>
      <c r="D5" s="1">
        <v>0.279835</v>
      </c>
      <c r="E5" s="1">
        <v>0.20078499999999999</v>
      </c>
      <c r="F5" s="1">
        <v>0.26899699999999999</v>
      </c>
      <c r="G5" s="1">
        <v>0.28235199999999999</v>
      </c>
      <c r="H5" s="1">
        <v>0.281082</v>
      </c>
      <c r="I5" s="1">
        <v>0.23572399999999999</v>
      </c>
      <c r="J5" s="1">
        <v>0.21651999999999999</v>
      </c>
    </row>
    <row r="6" spans="1:10" x14ac:dyDescent="0.2">
      <c r="A6" s="8"/>
      <c r="B6" s="4" t="s">
        <v>36</v>
      </c>
      <c r="C6" s="1">
        <v>0.46990599999999999</v>
      </c>
      <c r="D6">
        <v>8.7500999999999995E-2</v>
      </c>
      <c r="E6" s="1">
        <v>6.9406999999999996E-2</v>
      </c>
      <c r="F6">
        <v>8.7676000000000004E-2</v>
      </c>
      <c r="G6">
        <v>9.7803000000000001E-2</v>
      </c>
      <c r="H6" s="1">
        <v>8.7500999999999995E-2</v>
      </c>
      <c r="I6">
        <v>8.2281999999999994E-2</v>
      </c>
      <c r="J6" s="1">
        <v>8.1131999999999996E-2</v>
      </c>
    </row>
    <row r="7" spans="1:10" x14ac:dyDescent="0.2">
      <c r="A7" s="8"/>
      <c r="B7" s="4" t="s">
        <v>37</v>
      </c>
      <c r="C7" s="1">
        <v>0.371091</v>
      </c>
      <c r="D7" s="1">
        <v>4.2445999999999998E-2</v>
      </c>
      <c r="E7" s="1">
        <v>3.9709000000000001E-2</v>
      </c>
      <c r="F7" s="1">
        <v>4.1484E-2</v>
      </c>
      <c r="G7" s="1">
        <v>4.4645999999999998E-2</v>
      </c>
      <c r="H7" s="1">
        <v>4.1419999999999998E-2</v>
      </c>
      <c r="I7" s="1">
        <v>3.9896000000000001E-2</v>
      </c>
      <c r="J7" s="1">
        <v>3.9789999999999999E-2</v>
      </c>
    </row>
    <row r="8" spans="1:10" x14ac:dyDescent="0.2">
      <c r="A8" s="8"/>
      <c r="B8" t="s">
        <v>12</v>
      </c>
      <c r="C8" s="1">
        <v>0.30371799999999999</v>
      </c>
      <c r="D8" s="1">
        <v>4.0698999999999999E-2</v>
      </c>
      <c r="E8" s="1">
        <v>2.6898999999999999E-2</v>
      </c>
      <c r="F8" s="1">
        <v>3.5955000000000001E-2</v>
      </c>
      <c r="G8" s="1">
        <v>4.6143000000000003E-2</v>
      </c>
      <c r="H8" s="1">
        <v>3.7180999999999999E-2</v>
      </c>
      <c r="I8" s="1">
        <v>3.3255E-2</v>
      </c>
    </row>
    <row r="9" spans="1:10" x14ac:dyDescent="0.2">
      <c r="A9" s="8"/>
      <c r="B9" t="s">
        <v>38</v>
      </c>
      <c r="C9" s="1">
        <v>0.41262199999999999</v>
      </c>
      <c r="D9" s="1">
        <v>3.0328000000000001E-2</v>
      </c>
      <c r="E9" s="1">
        <v>2.8261000000000001E-2</v>
      </c>
      <c r="F9" s="1">
        <v>3.0290999999999998E-2</v>
      </c>
      <c r="G9" s="1">
        <v>3.0511E-2</v>
      </c>
      <c r="H9" s="1">
        <v>2.9787999999999999E-2</v>
      </c>
      <c r="I9" s="1">
        <v>2.8809999999999999E-2</v>
      </c>
    </row>
    <row r="10" spans="1:10" x14ac:dyDescent="0.2">
      <c r="A10" s="8"/>
      <c r="B10" t="s">
        <v>39</v>
      </c>
      <c r="C10" s="1">
        <v>0.39555899999999999</v>
      </c>
      <c r="D10" s="1">
        <v>7.1662000000000003E-2</v>
      </c>
      <c r="E10" s="1">
        <v>6.1890000000000001E-2</v>
      </c>
      <c r="F10" s="1">
        <v>6.9059999999999996E-2</v>
      </c>
      <c r="H10" s="1">
        <v>7.0211999999999997E-2</v>
      </c>
      <c r="I10" s="1">
        <v>6.4979999999999996E-2</v>
      </c>
    </row>
    <row r="12" spans="1:10" x14ac:dyDescent="0.2">
      <c r="A12" s="8" t="s">
        <v>22</v>
      </c>
      <c r="B12" s="4" t="s">
        <v>18</v>
      </c>
      <c r="C12" s="1">
        <v>0.34492600000000001</v>
      </c>
      <c r="D12" s="1">
        <v>6.0935000000000003E-2</v>
      </c>
      <c r="E12" s="1">
        <v>4.0911000000000003E-2</v>
      </c>
      <c r="F12" s="1">
        <v>5.7161999999999998E-2</v>
      </c>
      <c r="G12" s="1"/>
      <c r="H12" s="1">
        <v>6.3615000000000005E-2</v>
      </c>
      <c r="I12" s="1">
        <v>4.9605000000000003E-2</v>
      </c>
      <c r="J12">
        <v>4.8146000000000001E-2</v>
      </c>
    </row>
    <row r="13" spans="1:10" x14ac:dyDescent="0.2">
      <c r="A13" s="8"/>
      <c r="B13" t="s">
        <v>17</v>
      </c>
      <c r="C13" s="1">
        <v>0.445828</v>
      </c>
      <c r="D13" s="1">
        <v>0.14532999999999999</v>
      </c>
      <c r="E13" s="1">
        <v>0.139297</v>
      </c>
      <c r="F13" s="1">
        <v>0.143897</v>
      </c>
      <c r="H13" s="1">
        <v>0.143843</v>
      </c>
      <c r="I13" s="1">
        <v>0.13445699999999999</v>
      </c>
    </row>
    <row r="14" spans="1:10" x14ac:dyDescent="0.2">
      <c r="A14" s="8"/>
      <c r="B14" s="4" t="s">
        <v>20</v>
      </c>
      <c r="C14" s="1">
        <v>0.44900800000000002</v>
      </c>
      <c r="D14" s="1">
        <v>0.18393399999999999</v>
      </c>
      <c r="E14" s="1">
        <v>0.110162</v>
      </c>
      <c r="F14" s="1">
        <f>0.173506</f>
        <v>0.17350599999999999</v>
      </c>
      <c r="H14" s="1">
        <v>0.18393399999999999</v>
      </c>
      <c r="I14" s="1">
        <v>0.145313</v>
      </c>
      <c r="J14" s="1">
        <v>0.14076900000000001</v>
      </c>
    </row>
    <row r="15" spans="1:10" x14ac:dyDescent="0.2">
      <c r="A15" s="8"/>
      <c r="B15" t="s">
        <v>21</v>
      </c>
      <c r="C15" s="1">
        <v>0.42242800000000003</v>
      </c>
      <c r="D15" s="1">
        <v>9.4416E-2</v>
      </c>
      <c r="E15" s="1">
        <v>7.4917999999999998E-2</v>
      </c>
      <c r="F15" s="1">
        <v>9.7526000000000002E-2</v>
      </c>
      <c r="H15" s="1">
        <v>9.3301999999999996E-2</v>
      </c>
      <c r="I15" s="1">
        <v>7.1181999999999995E-2</v>
      </c>
      <c r="J15" s="1">
        <v>7.7354999999999993E-2</v>
      </c>
    </row>
    <row r="16" spans="1:10" x14ac:dyDescent="0.2">
      <c r="A16" s="8"/>
      <c r="B16" t="s">
        <v>44</v>
      </c>
      <c r="C16" s="1">
        <v>0.44283899999999998</v>
      </c>
      <c r="D16" s="1">
        <v>0.145095</v>
      </c>
      <c r="E16" s="1">
        <v>0.131859</v>
      </c>
      <c r="F16" s="1">
        <v>0.14297499999999999</v>
      </c>
      <c r="H16" s="1">
        <v>0.14362800000000001</v>
      </c>
      <c r="I16" s="1">
        <v>0.13289699999999999</v>
      </c>
      <c r="J16" s="1">
        <v>0.13676099999999999</v>
      </c>
    </row>
    <row r="17" spans="1:10" x14ac:dyDescent="0.2">
      <c r="A17" s="8"/>
      <c r="B17" t="s">
        <v>45</v>
      </c>
      <c r="C17" s="1">
        <v>0.37348100000000001</v>
      </c>
      <c r="D17" s="1">
        <v>1.8405999999999999E-2</v>
      </c>
      <c r="E17" s="1">
        <v>1.6743000000000001E-2</v>
      </c>
      <c r="F17" s="1">
        <v>1.8534999999999999E-2</v>
      </c>
      <c r="H17" s="1">
        <v>1.7797E-2</v>
      </c>
      <c r="I17" s="1">
        <v>1.7538000000000002E-2</v>
      </c>
      <c r="J17" s="1">
        <v>1.7991E-2</v>
      </c>
    </row>
    <row r="18" spans="1:10" x14ac:dyDescent="0.2">
      <c r="A18" s="8"/>
      <c r="B18" t="s">
        <v>49</v>
      </c>
      <c r="I18" s="1">
        <v>8.1930000000000006E-3</v>
      </c>
    </row>
    <row r="19" spans="1:10" x14ac:dyDescent="0.2">
      <c r="A19" s="8"/>
      <c r="B19" t="s">
        <v>60</v>
      </c>
    </row>
    <row r="20" spans="1:10" x14ac:dyDescent="0.2">
      <c r="A20" s="8"/>
      <c r="B20" t="s">
        <v>30</v>
      </c>
    </row>
    <row r="21" spans="1:10" x14ac:dyDescent="0.2">
      <c r="A21" s="8"/>
      <c r="B21" t="s">
        <v>28</v>
      </c>
    </row>
    <row r="22" spans="1:10" x14ac:dyDescent="0.2">
      <c r="A22" s="8"/>
      <c r="B22" t="s">
        <v>33</v>
      </c>
    </row>
    <row r="23" spans="1:10" x14ac:dyDescent="0.2">
      <c r="A23" s="8"/>
      <c r="B23" t="s">
        <v>34</v>
      </c>
    </row>
    <row r="24" spans="1:10" x14ac:dyDescent="0.2">
      <c r="A24" s="8"/>
      <c r="B24" t="s">
        <v>31</v>
      </c>
    </row>
    <row r="25" spans="1:10" x14ac:dyDescent="0.2">
      <c r="A25" s="8"/>
      <c r="B25" t="s">
        <v>29</v>
      </c>
    </row>
    <row r="26" spans="1:10" x14ac:dyDescent="0.2">
      <c r="A26" s="8"/>
      <c r="B26" t="s">
        <v>51</v>
      </c>
    </row>
    <row r="27" spans="1:10" x14ac:dyDescent="0.2">
      <c r="A27" s="8"/>
      <c r="B27" t="s">
        <v>32</v>
      </c>
    </row>
    <row r="29" spans="1:10" x14ac:dyDescent="0.2">
      <c r="A29" s="8" t="s">
        <v>24</v>
      </c>
      <c r="B29" s="4" t="s">
        <v>46</v>
      </c>
      <c r="C29" s="1">
        <v>0.422601</v>
      </c>
      <c r="D29" s="1">
        <v>0.17605599999999999</v>
      </c>
      <c r="E29" s="1">
        <v>0.14296</v>
      </c>
      <c r="F29" s="1">
        <v>0.17665700000000001</v>
      </c>
      <c r="H29" s="1">
        <v>0.17491399999999999</v>
      </c>
      <c r="I29" s="1">
        <v>0.154919</v>
      </c>
      <c r="J29" s="1">
        <v>0.14865400000000001</v>
      </c>
    </row>
    <row r="30" spans="1:10" x14ac:dyDescent="0.2">
      <c r="A30" s="8"/>
      <c r="B30" t="s">
        <v>13</v>
      </c>
      <c r="C30" s="1">
        <v>0.467422</v>
      </c>
      <c r="D30" s="1">
        <v>0.193164</v>
      </c>
      <c r="E30" s="1">
        <v>0.15726000000000001</v>
      </c>
      <c r="F30" s="1">
        <v>0.192409</v>
      </c>
      <c r="H30" s="1">
        <v>0.19284899999999999</v>
      </c>
      <c r="I30" s="1">
        <v>0.17238400000000001</v>
      </c>
    </row>
    <row r="31" spans="1:10" x14ac:dyDescent="0.2">
      <c r="A31" s="8"/>
      <c r="B31" t="s">
        <v>23</v>
      </c>
      <c r="C31" s="1">
        <v>0.38726500000000003</v>
      </c>
      <c r="D31" s="1">
        <v>3.4471000000000002E-2</v>
      </c>
      <c r="E31" s="1">
        <v>3.1146E-2</v>
      </c>
      <c r="F31" s="1">
        <v>3.6928000000000002E-2</v>
      </c>
      <c r="H31" s="1">
        <f>0.034191</f>
        <v>3.4190999999999999E-2</v>
      </c>
      <c r="I31" s="1">
        <v>3.1310999999999999E-2</v>
      </c>
      <c r="J31" s="1">
        <v>3.2079999999999997E-2</v>
      </c>
    </row>
    <row r="32" spans="1:10" x14ac:dyDescent="0.2">
      <c r="A32" s="8"/>
      <c r="B32" s="4" t="s">
        <v>47</v>
      </c>
      <c r="C32" s="1">
        <v>0.47822999999999999</v>
      </c>
      <c r="D32" s="1">
        <v>4.6715E-2</v>
      </c>
      <c r="E32" s="1">
        <v>1.7670999999999999E-2</v>
      </c>
      <c r="F32" s="1">
        <f>0.04508</f>
        <v>4.5080000000000002E-2</v>
      </c>
      <c r="H32" s="1">
        <v>4.5553999999999997E-2</v>
      </c>
      <c r="I32" s="1">
        <v>3.7802000000000002E-2</v>
      </c>
      <c r="J32" s="1">
        <v>3.7207999999999998E-2</v>
      </c>
    </row>
    <row r="33" spans="1:10" x14ac:dyDescent="0.2">
      <c r="A33" s="8"/>
      <c r="B33" s="4" t="s">
        <v>48</v>
      </c>
      <c r="C33" s="1">
        <v>0.45735300000000001</v>
      </c>
      <c r="D33" s="1">
        <f>0.044773</f>
        <v>4.4773E-2</v>
      </c>
      <c r="E33" s="1">
        <v>1.7153999999999999E-2</v>
      </c>
      <c r="F33" s="1">
        <v>4.5599000000000001E-2</v>
      </c>
      <c r="H33" s="1">
        <v>4.3993999999999998E-2</v>
      </c>
      <c r="I33" s="1">
        <v>4.0370999999999997E-2</v>
      </c>
      <c r="J33" s="1">
        <v>3.6506999999999998E-2</v>
      </c>
    </row>
    <row r="34" spans="1:10" x14ac:dyDescent="0.2">
      <c r="A34" s="8"/>
      <c r="B34" s="4" t="s">
        <v>58</v>
      </c>
      <c r="C34" s="1">
        <v>0.43434</v>
      </c>
      <c r="D34" s="1">
        <v>0.196104</v>
      </c>
      <c r="E34" t="s">
        <v>61</v>
      </c>
      <c r="I34" s="1">
        <v>0.16922999999999999</v>
      </c>
      <c r="J34" s="1">
        <v>0.16870299999999999</v>
      </c>
    </row>
    <row r="35" spans="1:10" x14ac:dyDescent="0.2">
      <c r="A35" s="8"/>
      <c r="B35" t="s">
        <v>59</v>
      </c>
      <c r="I35" s="1">
        <v>8.5103999999999999E-2</v>
      </c>
      <c r="J35" s="1">
        <v>9.0324000000000002E-2</v>
      </c>
    </row>
    <row r="36" spans="1:10" x14ac:dyDescent="0.2">
      <c r="A36" s="8"/>
      <c r="B36" t="s">
        <v>52</v>
      </c>
    </row>
    <row r="37" spans="1:10" x14ac:dyDescent="0.2">
      <c r="A37" s="8"/>
      <c r="B37" t="s">
        <v>53</v>
      </c>
    </row>
    <row r="38" spans="1:10" x14ac:dyDescent="0.2">
      <c r="A38" s="8"/>
      <c r="B38" t="s">
        <v>54</v>
      </c>
    </row>
    <row r="39" spans="1:10" x14ac:dyDescent="0.2">
      <c r="A39" s="8"/>
      <c r="B39" t="s">
        <v>55</v>
      </c>
    </row>
    <row r="42" spans="1:10" x14ac:dyDescent="0.2">
      <c r="A42" s="8" t="s">
        <v>72</v>
      </c>
      <c r="B42" t="s">
        <v>15</v>
      </c>
      <c r="C42" s="1">
        <v>0.19927900000000001</v>
      </c>
      <c r="D42" s="1">
        <v>5.1306999999999998E-2</v>
      </c>
      <c r="E42" s="1">
        <v>2.3897999999999999E-2</v>
      </c>
      <c r="F42" s="1">
        <v>4.5718000000000002E-2</v>
      </c>
      <c r="H42" s="1">
        <v>5.2040999999999997E-2</v>
      </c>
      <c r="I42" s="1">
        <v>3.7397E-2</v>
      </c>
      <c r="J42" s="1">
        <v>3.8528E-2</v>
      </c>
    </row>
    <row r="43" spans="1:10" x14ac:dyDescent="0.2">
      <c r="A43" s="8"/>
      <c r="B43" t="s">
        <v>14</v>
      </c>
      <c r="C43" s="1">
        <v>0.21993199999999999</v>
      </c>
      <c r="D43" s="1">
        <v>2.7962000000000001E-2</v>
      </c>
      <c r="E43" s="1">
        <v>9.1719999999999996E-3</v>
      </c>
      <c r="F43" s="1">
        <v>2.6599999999999999E-2</v>
      </c>
      <c r="H43" s="1">
        <v>2.7203999999999999E-2</v>
      </c>
      <c r="I43" s="1">
        <v>1.8377000000000001E-2</v>
      </c>
      <c r="J43" s="1">
        <v>2.0896999999999999E-2</v>
      </c>
    </row>
    <row r="44" spans="1:10" x14ac:dyDescent="0.2">
      <c r="A44" s="8"/>
      <c r="B44" s="4" t="s">
        <v>16</v>
      </c>
      <c r="C44" s="1">
        <v>0.41559499999999999</v>
      </c>
      <c r="D44" s="1">
        <v>7.9265000000000002E-2</v>
      </c>
      <c r="E44" s="1">
        <v>3.3875000000000002E-2</v>
      </c>
      <c r="F44" s="1">
        <v>7.7705999999999997E-2</v>
      </c>
      <c r="H44" s="1">
        <v>7.9138E-2</v>
      </c>
      <c r="I44" s="1">
        <v>5.9091999999999999E-2</v>
      </c>
      <c r="J44" s="1">
        <v>5.8756000000000003E-2</v>
      </c>
    </row>
    <row r="45" spans="1:10" x14ac:dyDescent="0.2">
      <c r="A45" s="8"/>
      <c r="B45" s="4" t="s">
        <v>50</v>
      </c>
      <c r="C45" s="1">
        <v>0.133969</v>
      </c>
      <c r="D45" s="1">
        <v>2.4799999999999999E-2</v>
      </c>
      <c r="E45" s="1">
        <v>3.7799999999999999E-3</v>
      </c>
      <c r="F45" s="1">
        <v>2.3245999999999999E-2</v>
      </c>
      <c r="H45" s="1">
        <v>2.4308E-2</v>
      </c>
      <c r="I45" s="1">
        <v>1.8492999999999999E-2</v>
      </c>
      <c r="J45" s="1">
        <v>1.8131999999999999E-2</v>
      </c>
    </row>
    <row r="46" spans="1:10" x14ac:dyDescent="0.2">
      <c r="A46" s="8"/>
      <c r="B46" t="s">
        <v>56</v>
      </c>
    </row>
    <row r="47" spans="1:10" x14ac:dyDescent="0.2">
      <c r="A47" s="8"/>
      <c r="B47" t="s">
        <v>57</v>
      </c>
      <c r="I47" s="1">
        <v>1.2335E-2</v>
      </c>
      <c r="J47">
        <v>1.3069000000000001E-2</v>
      </c>
    </row>
    <row r="50" spans="4:9" x14ac:dyDescent="0.2">
      <c r="D50" s="1"/>
      <c r="I50" s="1"/>
    </row>
  </sheetData>
  <mergeCells count="4">
    <mergeCell ref="A2:A10"/>
    <mergeCell ref="A12:A27"/>
    <mergeCell ref="A29:A39"/>
    <mergeCell ref="A42:A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Chau</dc:creator>
  <cp:lastModifiedBy>Rich Chau</cp:lastModifiedBy>
  <dcterms:created xsi:type="dcterms:W3CDTF">2026-02-16T03:32:21Z</dcterms:created>
  <dcterms:modified xsi:type="dcterms:W3CDTF">2026-03-11T02:18:20Z</dcterms:modified>
</cp:coreProperties>
</file>